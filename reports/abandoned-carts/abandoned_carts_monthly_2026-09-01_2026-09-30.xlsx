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(01 Sep – 30 Sep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1st</t>
        </is>
      </c>
      <c r="B4" s="5" t="n">
        <v>43</v>
      </c>
      <c r="C4" s="6" t="n">
        <v>1041000</v>
      </c>
      <c r="D4" s="6" t="n">
        <v>26550</v>
      </c>
      <c r="E4" s="7">
        <f>IFERROR(D4/C4,0)</f>
        <v/>
      </c>
      <c r="F4" s="8">
        <f>C4-D4</f>
        <v/>
      </c>
      <c r="G4" s="5" t="n">
        <v>3</v>
      </c>
      <c r="H4" s="5" t="n">
        <v>2</v>
      </c>
      <c r="I4" s="5" t="n">
        <v>7</v>
      </c>
      <c r="J4" s="9">
        <f>G4+H4+I4</f>
        <v/>
      </c>
      <c r="K4" s="6" t="n">
        <v>44995</v>
      </c>
      <c r="L4" s="6" t="n">
        <v>42570</v>
      </c>
      <c r="M4" s="6" t="n">
        <v>114204</v>
      </c>
      <c r="N4" s="8">
        <f>K4+L4+M4</f>
        <v/>
      </c>
      <c r="O4" s="7">
        <f>IFERROR(N4/F4,0)</f>
        <v/>
      </c>
    </row>
    <row r="5">
      <c r="A5" s="4" t="inlineStr">
        <is>
          <t>2nd</t>
        </is>
      </c>
      <c r="B5" s="5" t="n">
        <v>38</v>
      </c>
      <c r="C5" s="6" t="n">
        <v>707350</v>
      </c>
      <c r="D5" s="6" t="n">
        <v>21900</v>
      </c>
      <c r="E5" s="7">
        <f>IFERROR(D5/C5,0)</f>
        <v/>
      </c>
      <c r="F5" s="8">
        <f>C5-D5</f>
        <v/>
      </c>
      <c r="G5" s="5" t="n">
        <v>2</v>
      </c>
      <c r="H5" s="5" t="n">
        <v>4</v>
      </c>
      <c r="I5" s="5" t="n">
        <v>3</v>
      </c>
      <c r="J5" s="9">
        <f>G5+H5+I5</f>
        <v/>
      </c>
      <c r="K5" s="6" t="n">
        <v>35450</v>
      </c>
      <c r="L5" s="6" t="n">
        <v>55305</v>
      </c>
      <c r="M5" s="6" t="n">
        <v>43533</v>
      </c>
      <c r="N5" s="8">
        <f>K5+L5+M5</f>
        <v/>
      </c>
      <c r="O5" s="7">
        <f>IFERROR(N5/F5,0)</f>
        <v/>
      </c>
    </row>
    <row r="6">
      <c r="A6" s="4" t="inlineStr">
        <is>
          <t>3rd</t>
        </is>
      </c>
      <c r="B6" s="5" t="n">
        <v>32</v>
      </c>
      <c r="C6" s="6" t="n">
        <v>720440</v>
      </c>
      <c r="D6" s="6" t="n">
        <v>135530</v>
      </c>
      <c r="E6" s="7">
        <f>IFERROR(D6/C6,0)</f>
        <v/>
      </c>
      <c r="F6" s="8">
        <f>C6-D6</f>
        <v/>
      </c>
      <c r="G6" s="5" t="n">
        <v>2</v>
      </c>
      <c r="H6" s="5" t="n">
        <v>1</v>
      </c>
      <c r="I6" s="5" t="n">
        <v>4</v>
      </c>
      <c r="J6" s="9">
        <f>G6+H6+I6</f>
        <v/>
      </c>
      <c r="K6" s="6" t="n">
        <v>45800</v>
      </c>
      <c r="L6" s="6" t="n">
        <v>14355</v>
      </c>
      <c r="M6" s="6" t="n">
        <v>83155</v>
      </c>
      <c r="N6" s="8">
        <f>K6+L6+M6</f>
        <v/>
      </c>
      <c r="O6" s="7">
        <f>IFERROR(N6/F6,0)</f>
        <v/>
      </c>
    </row>
    <row r="7">
      <c r="A7" s="4" t="inlineStr">
        <is>
          <t>4th</t>
        </is>
      </c>
      <c r="B7" s="5" t="n">
        <v>52</v>
      </c>
      <c r="C7" s="6" t="n">
        <v>941880</v>
      </c>
      <c r="D7" s="6" t="n">
        <v>165105</v>
      </c>
      <c r="E7" s="7">
        <f>IFERROR(D7/C7,0)</f>
        <v/>
      </c>
      <c r="F7" s="8">
        <f>C7-D7</f>
        <v/>
      </c>
      <c r="G7" s="5" t="n">
        <v>3</v>
      </c>
      <c r="H7" s="5" t="n">
        <v>1</v>
      </c>
      <c r="I7" s="5" t="n">
        <v>11</v>
      </c>
      <c r="J7" s="9">
        <f>G7+H7+I7</f>
        <v/>
      </c>
      <c r="K7" s="6" t="n">
        <v>74325</v>
      </c>
      <c r="L7" s="6" t="n">
        <v>9520</v>
      </c>
      <c r="M7" s="6" t="n">
        <v>168097</v>
      </c>
      <c r="N7" s="8">
        <f>K7+L7+M7</f>
        <v/>
      </c>
      <c r="O7" s="7">
        <f>IFERROR(N7/F7,0)</f>
        <v/>
      </c>
    </row>
    <row r="8">
      <c r="A8" s="4" t="inlineStr">
        <is>
          <t>5th</t>
        </is>
      </c>
      <c r="B8" s="5" t="n">
        <v>52</v>
      </c>
      <c r="C8" s="6" t="n">
        <v>1346220</v>
      </c>
      <c r="D8" s="6" t="n">
        <v>184755</v>
      </c>
      <c r="E8" s="7">
        <f>IFERROR(D8/C8,0)</f>
        <v/>
      </c>
      <c r="F8" s="8">
        <f>C8-D8</f>
        <v/>
      </c>
      <c r="G8" s="5" t="n">
        <v>3</v>
      </c>
      <c r="H8" s="5" t="n">
        <v>4</v>
      </c>
      <c r="I8" s="5" t="n">
        <v>12</v>
      </c>
      <c r="J8" s="9">
        <f>G8+H8+I8</f>
        <v/>
      </c>
      <c r="K8" s="6" t="n">
        <v>36020</v>
      </c>
      <c r="L8" s="6" t="n">
        <v>46750</v>
      </c>
      <c r="M8" s="6" t="n">
        <v>221740</v>
      </c>
      <c r="N8" s="8">
        <f>K8+L8+M8</f>
        <v/>
      </c>
      <c r="O8" s="7">
        <f>IFERROR(N8/F8,0)</f>
        <v/>
      </c>
    </row>
    <row r="9">
      <c r="A9" s="4" t="inlineStr">
        <is>
          <t>6th</t>
        </is>
      </c>
      <c r="B9" s="5" t="n">
        <v>57</v>
      </c>
      <c r="C9" s="6" t="n">
        <v>1156751</v>
      </c>
      <c r="D9" s="6" t="n">
        <v>145328</v>
      </c>
      <c r="E9" s="7">
        <f>IFERROR(D9/C9,0)</f>
        <v/>
      </c>
      <c r="F9" s="8">
        <f>C9-D9</f>
        <v/>
      </c>
      <c r="G9" s="5" t="n">
        <v>4</v>
      </c>
      <c r="H9" s="5" t="n">
        <v>4</v>
      </c>
      <c r="I9" s="5" t="n">
        <v>8</v>
      </c>
      <c r="J9" s="9">
        <f>G9+H9+I9</f>
        <v/>
      </c>
      <c r="K9" s="6" t="n">
        <v>67590</v>
      </c>
      <c r="L9" s="6" t="n">
        <v>86855</v>
      </c>
      <c r="M9" s="6" t="n">
        <v>116215</v>
      </c>
      <c r="N9" s="8">
        <f>K9+L9+M9</f>
        <v/>
      </c>
      <c r="O9" s="7">
        <f>IFERROR(N9/F9,0)</f>
        <v/>
      </c>
    </row>
    <row r="10">
      <c r="A10" s="4" t="inlineStr">
        <is>
          <t>7th</t>
        </is>
      </c>
      <c r="B10" s="5" t="n">
        <v>47</v>
      </c>
      <c r="C10" s="6" t="n">
        <v>797176</v>
      </c>
      <c r="D10" s="6" t="n">
        <v>123986</v>
      </c>
      <c r="E10" s="7">
        <f>IFERROR(D10/C10,0)</f>
        <v/>
      </c>
      <c r="F10" s="8">
        <f>C10-D10</f>
        <v/>
      </c>
      <c r="G10" s="5" t="n">
        <v>2</v>
      </c>
      <c r="H10" s="5" t="n">
        <v>2</v>
      </c>
      <c r="I10" s="5" t="n">
        <v>7</v>
      </c>
      <c r="J10" s="9">
        <f>G10+H10+I10</f>
        <v/>
      </c>
      <c r="K10" s="6" t="n">
        <v>27360</v>
      </c>
      <c r="L10" s="6" t="n">
        <v>39910</v>
      </c>
      <c r="M10" s="6" t="n">
        <v>123755</v>
      </c>
      <c r="N10" s="8">
        <f>K10+L10+M10</f>
        <v/>
      </c>
      <c r="O10" s="7">
        <f>IFERROR(N10/F10,0)</f>
        <v/>
      </c>
    </row>
    <row r="11">
      <c r="A11" s="4" t="inlineStr">
        <is>
          <t>8th</t>
        </is>
      </c>
      <c r="B11" s="5" t="n">
        <v>36</v>
      </c>
      <c r="C11" s="6" t="n">
        <v>556874</v>
      </c>
      <c r="D11" s="6" t="n">
        <v>87400</v>
      </c>
      <c r="E11" s="7">
        <f>IFERROR(D11/C11,0)</f>
        <v/>
      </c>
      <c r="F11" s="8">
        <f>C11-D11</f>
        <v/>
      </c>
      <c r="G11" s="5" t="n">
        <v>2</v>
      </c>
      <c r="H11" s="5" t="n">
        <v>1</v>
      </c>
      <c r="I11" s="5" t="n">
        <v>4</v>
      </c>
      <c r="J11" s="9">
        <f>G11+H11+I11</f>
        <v/>
      </c>
      <c r="K11" s="6" t="n">
        <v>23040</v>
      </c>
      <c r="L11" s="6" t="n">
        <v>15210</v>
      </c>
      <c r="M11" s="6" t="n">
        <v>80574</v>
      </c>
      <c r="N11" s="8">
        <f>K11+L11+M11</f>
        <v/>
      </c>
      <c r="O11" s="7">
        <f>IFERROR(N11/F11,0)</f>
        <v/>
      </c>
    </row>
    <row r="12">
      <c r="A12" s="4" t="inlineStr">
        <is>
          <t>9th</t>
        </is>
      </c>
      <c r="B12" s="5" t="n">
        <v>42</v>
      </c>
      <c r="C12" s="6" t="n">
        <v>754450</v>
      </c>
      <c r="D12" s="6" t="n">
        <v>236745</v>
      </c>
      <c r="E12" s="7">
        <f>IFERROR(D12/C12,0)</f>
        <v/>
      </c>
      <c r="F12" s="8">
        <f>C12-D12</f>
        <v/>
      </c>
      <c r="G12" s="5" t="n">
        <v>3</v>
      </c>
      <c r="H12" s="5" t="n">
        <v>0</v>
      </c>
      <c r="I12" s="5" t="n">
        <v>4</v>
      </c>
      <c r="J12" s="9">
        <f>G12+H12+I12</f>
        <v/>
      </c>
      <c r="K12" s="6" t="n">
        <v>59115</v>
      </c>
      <c r="L12" s="6" t="n">
        <v>0</v>
      </c>
      <c r="M12" s="6" t="n">
        <v>118925</v>
      </c>
      <c r="N12" s="8">
        <f>K12+L12+M12</f>
        <v/>
      </c>
      <c r="O12" s="7">
        <f>IFERROR(N12/F12,0)</f>
        <v/>
      </c>
    </row>
    <row r="13">
      <c r="A13" s="4" t="inlineStr">
        <is>
          <t>10th</t>
        </is>
      </c>
      <c r="B13" s="5" t="n">
        <v>35</v>
      </c>
      <c r="C13" s="6" t="n">
        <v>726818</v>
      </c>
      <c r="D13" s="6" t="n">
        <v>100828</v>
      </c>
      <c r="E13" s="7">
        <f>IFERROR(D13/C13,0)</f>
        <v/>
      </c>
      <c r="F13" s="8">
        <f>C13-D13</f>
        <v/>
      </c>
      <c r="G13" s="5" t="n">
        <v>0</v>
      </c>
      <c r="H13" s="5" t="n">
        <v>1</v>
      </c>
      <c r="I13" s="5" t="n">
        <v>7</v>
      </c>
      <c r="J13" s="9">
        <f>G13+H13+I13</f>
        <v/>
      </c>
      <c r="K13" s="6" t="n">
        <v>0</v>
      </c>
      <c r="L13" s="6" t="n">
        <v>14450</v>
      </c>
      <c r="M13" s="6" t="n">
        <v>227376</v>
      </c>
      <c r="N13" s="8">
        <f>K13+L13+M13</f>
        <v/>
      </c>
      <c r="O13" s="7">
        <f>IFERROR(N13/F13,0)</f>
        <v/>
      </c>
    </row>
    <row r="14">
      <c r="A14" s="4" t="inlineStr">
        <is>
          <t>11th</t>
        </is>
      </c>
      <c r="B14" s="5" t="n">
        <v>49</v>
      </c>
      <c r="C14" s="6" t="n">
        <v>824918</v>
      </c>
      <c r="D14" s="6" t="n">
        <v>97253</v>
      </c>
      <c r="E14" s="7">
        <f>IFERROR(D14/C14,0)</f>
        <v/>
      </c>
      <c r="F14" s="8">
        <f>C14-D14</f>
        <v/>
      </c>
      <c r="G14" s="5" t="n">
        <v>4</v>
      </c>
      <c r="H14" s="5" t="n">
        <v>2</v>
      </c>
      <c r="I14" s="5" t="n">
        <v>5</v>
      </c>
      <c r="J14" s="9">
        <f>G14+H14+I14</f>
        <v/>
      </c>
      <c r="K14" s="6" t="n">
        <v>67815</v>
      </c>
      <c r="L14" s="6" t="n">
        <v>30785</v>
      </c>
      <c r="M14" s="6" t="n">
        <v>84109</v>
      </c>
      <c r="N14" s="8">
        <f>K14+L14+M14</f>
        <v/>
      </c>
      <c r="O14" s="7">
        <f>IFERROR(N14/F14,0)</f>
        <v/>
      </c>
    </row>
    <row r="15">
      <c r="A15" s="4" t="inlineStr">
        <is>
          <t>12th</t>
        </is>
      </c>
      <c r="B15" s="5" t="n">
        <v>44</v>
      </c>
      <c r="C15" s="6" t="n">
        <v>828645</v>
      </c>
      <c r="D15" s="6" t="n">
        <v>162675</v>
      </c>
      <c r="E15" s="7">
        <f>IFERROR(D15/C15,0)</f>
        <v/>
      </c>
      <c r="F15" s="8">
        <f>C15-D15</f>
        <v/>
      </c>
      <c r="G15" s="5" t="n">
        <v>4</v>
      </c>
      <c r="H15" s="5" t="n">
        <v>4</v>
      </c>
      <c r="I15" s="5" t="n">
        <v>7</v>
      </c>
      <c r="J15" s="9">
        <f>G15+H15+I15</f>
        <v/>
      </c>
      <c r="K15" s="6" t="n">
        <v>60210</v>
      </c>
      <c r="L15" s="6" t="n">
        <v>57505</v>
      </c>
      <c r="M15" s="6" t="n">
        <v>137189</v>
      </c>
      <c r="N15" s="8">
        <f>K15+L15+M15</f>
        <v/>
      </c>
      <c r="O15" s="7">
        <f>IFERROR(N15/F15,0)</f>
        <v/>
      </c>
    </row>
    <row r="16">
      <c r="A16" s="4" t="inlineStr">
        <is>
          <t>13th</t>
        </is>
      </c>
      <c r="B16" s="5" t="n">
        <v>43</v>
      </c>
      <c r="C16" s="6" t="n">
        <v>719978</v>
      </c>
      <c r="D16" s="6" t="n">
        <v>92340</v>
      </c>
      <c r="E16" s="7">
        <f>IFERROR(D16/C16,0)</f>
        <v/>
      </c>
      <c r="F16" s="8">
        <f>C16-D16</f>
        <v/>
      </c>
      <c r="G16" s="5" t="n">
        <v>3</v>
      </c>
      <c r="H16" s="5" t="n">
        <v>1</v>
      </c>
      <c r="I16" s="5" t="n">
        <v>10</v>
      </c>
      <c r="J16" s="9">
        <f>G16+H16+I16</f>
        <v/>
      </c>
      <c r="K16" s="6" t="n">
        <v>38830</v>
      </c>
      <c r="L16" s="6" t="n">
        <v>17910</v>
      </c>
      <c r="M16" s="6" t="n">
        <v>212737</v>
      </c>
      <c r="N16" s="8">
        <f>K16+L16+M16</f>
        <v/>
      </c>
      <c r="O16" s="7">
        <f>IFERROR(N16/F16,0)</f>
        <v/>
      </c>
    </row>
    <row r="17">
      <c r="A17" s="4" t="inlineStr">
        <is>
          <t>14th</t>
        </is>
      </c>
      <c r="B17" s="5" t="n">
        <v>30</v>
      </c>
      <c r="C17" s="6" t="n">
        <v>523055</v>
      </c>
      <c r="D17" s="6" t="n">
        <v>51620</v>
      </c>
      <c r="E17" s="7">
        <f>IFERROR(D17/C17,0)</f>
        <v/>
      </c>
      <c r="F17" s="8">
        <f>C17-D17</f>
        <v/>
      </c>
      <c r="G17" s="5" t="n">
        <v>3</v>
      </c>
      <c r="H17" s="5" t="n">
        <v>2</v>
      </c>
      <c r="I17" s="5" t="n">
        <v>8</v>
      </c>
      <c r="J17" s="9">
        <f>G17+H17+I17</f>
        <v/>
      </c>
      <c r="K17" s="6" t="n">
        <v>46670</v>
      </c>
      <c r="L17" s="6" t="n">
        <v>25975</v>
      </c>
      <c r="M17" s="6" t="n">
        <v>125575</v>
      </c>
      <c r="N17" s="8">
        <f>K17+L17+M17</f>
        <v/>
      </c>
      <c r="O17" s="7">
        <f>IFERROR(N17/F17,0)</f>
        <v/>
      </c>
    </row>
    <row r="18">
      <c r="A18" s="4" t="inlineStr">
        <is>
          <t>15th</t>
        </is>
      </c>
      <c r="B18" s="5" t="n">
        <v>52</v>
      </c>
      <c r="C18" s="6" t="n">
        <v>934705</v>
      </c>
      <c r="D18" s="6" t="n">
        <v>207530</v>
      </c>
      <c r="E18" s="7">
        <f>IFERROR(D18/C18,0)</f>
        <v/>
      </c>
      <c r="F18" s="8">
        <f>C18-D18</f>
        <v/>
      </c>
      <c r="G18" s="5" t="n">
        <v>2</v>
      </c>
      <c r="H18" s="5" t="n">
        <v>0</v>
      </c>
      <c r="I18" s="5" t="n">
        <v>6</v>
      </c>
      <c r="J18" s="9">
        <f>G18+H18+I18</f>
        <v/>
      </c>
      <c r="K18" s="6" t="n">
        <v>29895</v>
      </c>
      <c r="L18" s="6" t="n">
        <v>0</v>
      </c>
      <c r="M18" s="6" t="n">
        <v>103050</v>
      </c>
      <c r="N18" s="8">
        <f>K18+L18+M18</f>
        <v/>
      </c>
      <c r="O18" s="7">
        <f>IFERROR(N18/F18,0)</f>
        <v/>
      </c>
    </row>
    <row r="19">
      <c r="A19" s="4" t="inlineStr">
        <is>
          <t>16th</t>
        </is>
      </c>
      <c r="B19" s="5" t="n">
        <v>43</v>
      </c>
      <c r="C19" s="6" t="n">
        <v>1023850</v>
      </c>
      <c r="D19" s="6" t="n">
        <v>139135</v>
      </c>
      <c r="E19" s="7">
        <f>IFERROR(D19/C19,0)</f>
        <v/>
      </c>
      <c r="F19" s="8">
        <f>C19-D19</f>
        <v/>
      </c>
      <c r="G19" s="5" t="n">
        <v>3</v>
      </c>
      <c r="H19" s="5" t="n">
        <v>3</v>
      </c>
      <c r="I19" s="5" t="n">
        <v>3</v>
      </c>
      <c r="J19" s="9">
        <f>G19+H19+I19</f>
        <v/>
      </c>
      <c r="K19" s="6" t="n">
        <v>57790</v>
      </c>
      <c r="L19" s="6" t="n">
        <v>53280</v>
      </c>
      <c r="M19" s="6" t="n">
        <v>69970</v>
      </c>
      <c r="N19" s="8">
        <f>K19+L19+M19</f>
        <v/>
      </c>
      <c r="O19" s="7">
        <f>IFERROR(N19/F19,0)</f>
        <v/>
      </c>
    </row>
    <row r="20">
      <c r="A20" s="4" t="inlineStr">
        <is>
          <t>17th</t>
        </is>
      </c>
      <c r="B20" s="5" t="n">
        <v>34</v>
      </c>
      <c r="C20" s="6" t="n">
        <v>807730</v>
      </c>
      <c r="D20" s="6" t="n">
        <v>97225</v>
      </c>
      <c r="E20" s="7">
        <f>IFERROR(D20/C20,0)</f>
        <v/>
      </c>
      <c r="F20" s="8">
        <f>C20-D20</f>
        <v/>
      </c>
      <c r="G20" s="5" t="n">
        <v>1</v>
      </c>
      <c r="H20" s="5" t="n">
        <v>2</v>
      </c>
      <c r="I20" s="5" t="n">
        <v>5</v>
      </c>
      <c r="J20" s="9">
        <f>G20+H20+I20</f>
        <v/>
      </c>
      <c r="K20" s="6" t="n">
        <v>14265</v>
      </c>
      <c r="L20" s="6" t="n">
        <v>30690</v>
      </c>
      <c r="M20" s="6" t="n">
        <v>70950</v>
      </c>
      <c r="N20" s="8">
        <f>K20+L20+M20</f>
        <v/>
      </c>
      <c r="O20" s="7">
        <f>IFERROR(N20/F20,0)</f>
        <v/>
      </c>
    </row>
    <row r="21">
      <c r="A21" s="4" t="inlineStr">
        <is>
          <t>18th</t>
        </is>
      </c>
      <c r="B21" s="5" t="n">
        <v>49</v>
      </c>
      <c r="C21" s="6" t="n">
        <v>832915</v>
      </c>
      <c r="D21" s="6" t="n">
        <v>110080</v>
      </c>
      <c r="E21" s="7">
        <f>IFERROR(D21/C21,0)</f>
        <v/>
      </c>
      <c r="F21" s="8">
        <f>C21-D21</f>
        <v/>
      </c>
      <c r="G21" s="5" t="n">
        <v>3</v>
      </c>
      <c r="H21" s="5" t="n">
        <v>1</v>
      </c>
      <c r="I21" s="5" t="n">
        <v>5</v>
      </c>
      <c r="J21" s="9">
        <f>G21+H21+I21</f>
        <v/>
      </c>
      <c r="K21" s="6" t="n">
        <v>43595</v>
      </c>
      <c r="L21" s="6" t="n">
        <v>21900</v>
      </c>
      <c r="M21" s="6" t="n">
        <v>97859</v>
      </c>
      <c r="N21" s="8">
        <f>K21+L21+M21</f>
        <v/>
      </c>
      <c r="O21" s="7">
        <f>IFERROR(N21/F21,0)</f>
        <v/>
      </c>
    </row>
    <row r="22">
      <c r="A22" s="4" t="inlineStr">
        <is>
          <t>19th</t>
        </is>
      </c>
      <c r="B22" s="5" t="n">
        <v>46</v>
      </c>
      <c r="C22" s="6" t="n">
        <v>862740</v>
      </c>
      <c r="D22" s="6" t="n">
        <v>155095</v>
      </c>
      <c r="E22" s="7">
        <f>IFERROR(D22/C22,0)</f>
        <v/>
      </c>
      <c r="F22" s="8">
        <f>C22-D22</f>
        <v/>
      </c>
      <c r="G22" s="5" t="n">
        <v>3</v>
      </c>
      <c r="H22" s="5" t="n">
        <v>2</v>
      </c>
      <c r="I22" s="5" t="n">
        <v>3</v>
      </c>
      <c r="J22" s="9">
        <f>G22+H22+I22</f>
        <v/>
      </c>
      <c r="K22" s="6" t="n">
        <v>42715</v>
      </c>
      <c r="L22" s="6" t="n">
        <v>44155</v>
      </c>
      <c r="M22" s="6" t="n">
        <v>72285</v>
      </c>
      <c r="N22" s="8">
        <f>K22+L22+M22</f>
        <v/>
      </c>
      <c r="O22" s="7">
        <f>IFERROR(N22/F22,0)</f>
        <v/>
      </c>
    </row>
    <row r="23">
      <c r="A23" s="4" t="inlineStr">
        <is>
          <t>20th</t>
        </is>
      </c>
      <c r="B23" s="5" t="n">
        <v>67</v>
      </c>
      <c r="C23" s="6" t="n">
        <v>1077645</v>
      </c>
      <c r="D23" s="6" t="n">
        <v>217020</v>
      </c>
      <c r="E23" s="7">
        <f>IFERROR(D23/C23,0)</f>
        <v/>
      </c>
      <c r="F23" s="8">
        <f>C23-D23</f>
        <v/>
      </c>
      <c r="G23" s="5" t="n">
        <v>3</v>
      </c>
      <c r="H23" s="5" t="n">
        <v>4</v>
      </c>
      <c r="I23" s="5" t="n">
        <v>4</v>
      </c>
      <c r="J23" s="9">
        <f>G23+H23+I23</f>
        <v/>
      </c>
      <c r="K23" s="6" t="n">
        <v>39580</v>
      </c>
      <c r="L23" s="6" t="n">
        <v>87430</v>
      </c>
      <c r="M23" s="6" t="n">
        <v>87915</v>
      </c>
      <c r="N23" s="8">
        <f>K23+L23+M23</f>
        <v/>
      </c>
      <c r="O23" s="7">
        <f>IFERROR(N23/F23,0)</f>
        <v/>
      </c>
    </row>
    <row r="24">
      <c r="A24" s="4" t="inlineStr">
        <is>
          <t>21st</t>
        </is>
      </c>
      <c r="B24" s="5" t="n">
        <v>54</v>
      </c>
      <c r="C24" s="6" t="n">
        <v>1057544</v>
      </c>
      <c r="D24" s="6" t="n">
        <v>108808</v>
      </c>
      <c r="E24" s="7">
        <f>IFERROR(D24/C24,0)</f>
        <v/>
      </c>
      <c r="F24" s="8">
        <f>C24-D24</f>
        <v/>
      </c>
      <c r="G24" s="5" t="n">
        <v>2</v>
      </c>
      <c r="H24" s="5" t="n">
        <v>4</v>
      </c>
      <c r="I24" s="5" t="n">
        <v>4</v>
      </c>
      <c r="J24" s="9">
        <f>G24+H24+I24</f>
        <v/>
      </c>
      <c r="K24" s="6" t="n">
        <v>32130</v>
      </c>
      <c r="L24" s="6" t="n">
        <v>107020</v>
      </c>
      <c r="M24" s="6" t="n">
        <v>66941</v>
      </c>
      <c r="N24" s="8">
        <f>K24+L24+M24</f>
        <v/>
      </c>
      <c r="O24" s="7">
        <f>IFERROR(N24/F24,0)</f>
        <v/>
      </c>
    </row>
    <row r="25">
      <c r="A25" s="4" t="inlineStr">
        <is>
          <t>22nd</t>
        </is>
      </c>
      <c r="B25" s="5" t="n">
        <v>49</v>
      </c>
      <c r="C25" s="6" t="n">
        <v>811638</v>
      </c>
      <c r="D25" s="6" t="n">
        <v>327967</v>
      </c>
      <c r="E25" s="7">
        <f>IFERROR(D25/C25,0)</f>
        <v/>
      </c>
      <c r="F25" s="8">
        <f>C25-D25</f>
        <v/>
      </c>
      <c r="G25" s="5" t="n">
        <v>2</v>
      </c>
      <c r="H25" s="5" t="n">
        <v>0</v>
      </c>
      <c r="I25" s="5" t="n">
        <v>5</v>
      </c>
      <c r="J25" s="9">
        <f>G25+H25+I25</f>
        <v/>
      </c>
      <c r="K25" s="6" t="n">
        <v>36200</v>
      </c>
      <c r="L25" s="6" t="n">
        <v>0</v>
      </c>
      <c r="M25" s="6" t="n">
        <v>87970</v>
      </c>
      <c r="N25" s="8">
        <f>K25+L25+M25</f>
        <v/>
      </c>
      <c r="O25" s="7">
        <f>IFERROR(N25/F25,0)</f>
        <v/>
      </c>
    </row>
    <row r="26">
      <c r="A26" s="4" t="inlineStr">
        <is>
          <t>23rd</t>
        </is>
      </c>
      <c r="B26" s="5" t="n">
        <v>32</v>
      </c>
      <c r="C26" s="6" t="n">
        <v>829423</v>
      </c>
      <c r="D26" s="6" t="n">
        <v>91075</v>
      </c>
      <c r="E26" s="7">
        <f>IFERROR(D26/C26,0)</f>
        <v/>
      </c>
      <c r="F26" s="8">
        <f>C26-D26</f>
        <v/>
      </c>
      <c r="G26" s="5" t="n">
        <v>3</v>
      </c>
      <c r="H26" s="5" t="n">
        <v>3</v>
      </c>
      <c r="I26" s="5" t="n">
        <v>5</v>
      </c>
      <c r="J26" s="9">
        <f>G26+H26+I26</f>
        <v/>
      </c>
      <c r="K26" s="6" t="n">
        <v>30585</v>
      </c>
      <c r="L26" s="6" t="n">
        <v>37975</v>
      </c>
      <c r="M26" s="6" t="n">
        <v>95770</v>
      </c>
      <c r="N26" s="8">
        <f>K26+L26+M26</f>
        <v/>
      </c>
      <c r="O26" s="7">
        <f>IFERROR(N26/F26,0)</f>
        <v/>
      </c>
    </row>
    <row r="27">
      <c r="A27" s="4" t="inlineStr">
        <is>
          <t>24th</t>
        </is>
      </c>
      <c r="B27" s="5" t="n">
        <v>37</v>
      </c>
      <c r="C27" s="6" t="n">
        <v>719645</v>
      </c>
      <c r="D27" s="6" t="n">
        <v>127660</v>
      </c>
      <c r="E27" s="7">
        <f>IFERROR(D27/C27,0)</f>
        <v/>
      </c>
      <c r="F27" s="8">
        <f>C27-D27</f>
        <v/>
      </c>
      <c r="G27" s="5" t="n">
        <v>1</v>
      </c>
      <c r="H27" s="5" t="n">
        <v>0</v>
      </c>
      <c r="I27" s="5" t="n">
        <v>8</v>
      </c>
      <c r="J27" s="9">
        <f>G27+H27+I27</f>
        <v/>
      </c>
      <c r="K27" s="6" t="n">
        <v>12105</v>
      </c>
      <c r="L27" s="6" t="n">
        <v>0</v>
      </c>
      <c r="M27" s="6" t="n">
        <v>119375</v>
      </c>
      <c r="N27" s="8">
        <f>K27+L27+M27</f>
        <v/>
      </c>
      <c r="O27" s="7">
        <f>IFERROR(N27/F27,0)</f>
        <v/>
      </c>
    </row>
    <row r="28">
      <c r="A28" s="4" t="inlineStr">
        <is>
          <t>25th</t>
        </is>
      </c>
      <c r="B28" s="5" t="n">
        <v>51</v>
      </c>
      <c r="C28" s="6" t="n">
        <v>812159</v>
      </c>
      <c r="D28" s="6" t="n">
        <v>180805</v>
      </c>
      <c r="E28" s="7">
        <f>IFERROR(D28/C28,0)</f>
        <v/>
      </c>
      <c r="F28" s="8">
        <f>C28-D28</f>
        <v/>
      </c>
      <c r="G28" s="5" t="n">
        <v>4</v>
      </c>
      <c r="H28" s="5" t="n">
        <v>2</v>
      </c>
      <c r="I28" s="5" t="n">
        <v>6</v>
      </c>
      <c r="J28" s="9">
        <f>G28+H28+I28</f>
        <v/>
      </c>
      <c r="K28" s="6" t="n">
        <v>72840</v>
      </c>
      <c r="L28" s="6" t="n">
        <v>14280</v>
      </c>
      <c r="M28" s="6" t="n">
        <v>98454</v>
      </c>
      <c r="N28" s="8">
        <f>K28+L28+M28</f>
        <v/>
      </c>
      <c r="O28" s="7">
        <f>IFERROR(N28/F28,0)</f>
        <v/>
      </c>
    </row>
    <row r="29">
      <c r="A29" s="4" t="inlineStr">
        <is>
          <t>26th</t>
        </is>
      </c>
      <c r="B29" s="5" t="n">
        <v>44</v>
      </c>
      <c r="C29" s="6" t="n">
        <v>895000</v>
      </c>
      <c r="D29" s="6" t="n">
        <v>123345</v>
      </c>
      <c r="E29" s="7">
        <f>IFERROR(D29/C29,0)</f>
        <v/>
      </c>
      <c r="F29" s="8">
        <f>C29-D29</f>
        <v/>
      </c>
      <c r="G29" s="5" t="n">
        <v>3</v>
      </c>
      <c r="H29" s="5" t="n">
        <v>0</v>
      </c>
      <c r="I29" s="5" t="n">
        <v>4</v>
      </c>
      <c r="J29" s="9">
        <f>G29+H29+I29</f>
        <v/>
      </c>
      <c r="K29" s="6" t="n">
        <v>55220</v>
      </c>
      <c r="L29" s="6" t="n">
        <v>0</v>
      </c>
      <c r="M29" s="6" t="n">
        <v>171435</v>
      </c>
      <c r="N29" s="8">
        <f>K29+L29+M29</f>
        <v/>
      </c>
      <c r="O29" s="7">
        <f>IFERROR(N29/F29,0)</f>
        <v/>
      </c>
    </row>
    <row r="30">
      <c r="A30" s="4" t="inlineStr">
        <is>
          <t>27th</t>
        </is>
      </c>
      <c r="B30" s="5" t="n">
        <v>34</v>
      </c>
      <c r="C30" s="6" t="n">
        <v>1317725</v>
      </c>
      <c r="D30" s="6" t="n">
        <v>73195</v>
      </c>
      <c r="E30" s="7">
        <f>IFERROR(D30/C30,0)</f>
        <v/>
      </c>
      <c r="F30" s="8">
        <f>C30-D30</f>
        <v/>
      </c>
      <c r="G30" s="5" t="n">
        <v>1</v>
      </c>
      <c r="H30" s="5" t="n">
        <v>0</v>
      </c>
      <c r="I30" s="5" t="n">
        <v>4</v>
      </c>
      <c r="J30" s="9">
        <f>G30+H30+I30</f>
        <v/>
      </c>
      <c r="K30" s="6" t="n">
        <v>12510</v>
      </c>
      <c r="L30" s="6" t="n">
        <v>0</v>
      </c>
      <c r="M30" s="6" t="n">
        <v>176034</v>
      </c>
      <c r="N30" s="8">
        <f>K30+L30+M30</f>
        <v/>
      </c>
      <c r="O30" s="7">
        <f>IFERROR(N30/F30,0)</f>
        <v/>
      </c>
    </row>
    <row r="31">
      <c r="A31" s="4" t="inlineStr">
        <is>
          <t>28th</t>
        </is>
      </c>
      <c r="B31" s="5" t="n">
        <v>52</v>
      </c>
      <c r="C31" s="6" t="n">
        <v>1184573</v>
      </c>
      <c r="D31" s="6" t="n">
        <v>248863</v>
      </c>
      <c r="E31" s="7">
        <f>IFERROR(D31/C31,0)</f>
        <v/>
      </c>
      <c r="F31" s="8">
        <f>C31-D31</f>
        <v/>
      </c>
      <c r="G31" s="5" t="n">
        <v>2</v>
      </c>
      <c r="H31" s="5" t="n">
        <v>0</v>
      </c>
      <c r="I31" s="5" t="n">
        <v>5</v>
      </c>
      <c r="J31" s="9">
        <f>G31+H31+I31</f>
        <v/>
      </c>
      <c r="K31" s="6" t="n">
        <v>64460</v>
      </c>
      <c r="L31" s="6" t="n">
        <v>0</v>
      </c>
      <c r="M31" s="6" t="n">
        <v>86294</v>
      </c>
      <c r="N31" s="8">
        <f>K31+L31+M31</f>
        <v/>
      </c>
      <c r="O31" s="7">
        <f>IFERROR(N31/F31,0)</f>
        <v/>
      </c>
    </row>
    <row r="32">
      <c r="A32" s="4" t="inlineStr">
        <is>
          <t>29th</t>
        </is>
      </c>
      <c r="B32" s="5" t="n">
        <v>42</v>
      </c>
      <c r="C32" s="6" t="n">
        <v>796855</v>
      </c>
      <c r="D32" s="6" t="n">
        <v>156840</v>
      </c>
      <c r="E32" s="7">
        <f>IFERROR(D32/C32,0)</f>
        <v/>
      </c>
      <c r="F32" s="8">
        <f>C32-D32</f>
        <v/>
      </c>
      <c r="G32" s="5" t="n">
        <v>3</v>
      </c>
      <c r="H32" s="5" t="n">
        <v>3</v>
      </c>
      <c r="I32" s="5" t="n">
        <v>2</v>
      </c>
      <c r="J32" s="9">
        <f>G32+H32+I32</f>
        <v/>
      </c>
      <c r="K32" s="6" t="n">
        <v>49500</v>
      </c>
      <c r="L32" s="6" t="n">
        <v>53775</v>
      </c>
      <c r="M32" s="6" t="n">
        <v>29925</v>
      </c>
      <c r="N32" s="8">
        <f>K32+L32+M32</f>
        <v/>
      </c>
      <c r="O32" s="7">
        <f>IFERROR(N32/F32,0)</f>
        <v/>
      </c>
    </row>
    <row r="33">
      <c r="A33" s="4" t="inlineStr">
        <is>
          <t>30th</t>
        </is>
      </c>
      <c r="B33" s="5" t="n">
        <v>47</v>
      </c>
      <c r="C33" s="6" t="n">
        <v>1770972</v>
      </c>
      <c r="D33" s="6" t="n">
        <v>181645</v>
      </c>
      <c r="E33" s="7">
        <f>IFERROR(D33/C33,0)</f>
        <v/>
      </c>
      <c r="F33" s="8">
        <f>C33-D33</f>
        <v/>
      </c>
      <c r="G33" s="5" t="n">
        <v>1</v>
      </c>
      <c r="H33" s="5" t="n">
        <v>0</v>
      </c>
      <c r="I33" s="5" t="n">
        <v>1</v>
      </c>
      <c r="J33" s="9">
        <f>G33+H33+I33</f>
        <v/>
      </c>
      <c r="K33" s="6" t="n">
        <v>17900</v>
      </c>
      <c r="L33" s="6" t="n">
        <v>0</v>
      </c>
      <c r="M33" s="6" t="n">
        <v>12360</v>
      </c>
      <c r="N33" s="8">
        <f>K33+L33+M33</f>
        <v/>
      </c>
      <c r="O33" s="7">
        <f>IFERROR(N33/F33,0)</f>
        <v/>
      </c>
    </row>
    <row r="34">
      <c r="A34" s="4" t="inlineStr">
        <is>
          <t>Period</t>
        </is>
      </c>
      <c r="B34" s="4">
        <f>SUM(B4:B33)</f>
        <v/>
      </c>
      <c r="C34" s="10">
        <f>SUM(C4:C33)</f>
        <v/>
      </c>
      <c r="D34" s="10">
        <f>SUM(D4:D33)</f>
        <v/>
      </c>
      <c r="E34" s="11">
        <f>IFERROR(D34/C34,0)</f>
        <v/>
      </c>
      <c r="F34" s="10">
        <f>SUM(F4:F33)</f>
        <v/>
      </c>
      <c r="G34" s="10">
        <f>SUM(G4:G33)</f>
        <v/>
      </c>
      <c r="H34" s="10">
        <f>SUM(H4:H33)</f>
        <v/>
      </c>
      <c r="I34" s="10">
        <f>SUM(I4:I33)</f>
        <v/>
      </c>
      <c r="J34" s="10">
        <f>SUM(J4:J33)</f>
        <v/>
      </c>
      <c r="K34" s="10">
        <f>SUM(K4:K33)</f>
        <v/>
      </c>
      <c r="L34" s="10">
        <f>SUM(L4:L33)</f>
        <v/>
      </c>
      <c r="M34" s="10">
        <f>SUM(M4:M33)</f>
        <v/>
      </c>
      <c r="N34" s="10">
        <f>SUM(N4:N33)</f>
        <v/>
      </c>
      <c r="O34" s="11">
        <f>IFERROR(N34/F34,0)</f>
        <v/>
      </c>
    </row>
    <row r="36">
      <c r="A36" s="12" t="inlineStr">
        <is>
          <t>How this was built (Shopify Admin API, pulled 03 Oct 2026 14:25 IST; blue = pulled values, black = formulas):</t>
        </is>
      </c>
    </row>
    <row r="37">
      <c r="A37" s="13" t="inlineStr">
        <is>
          <t>• Day = abandoned-checkout date in IST; one row per customer per day (highest-value cart kept). Fake/ no number = no phone anywhere, or a dummy number.</t>
        </is>
      </c>
    </row>
    <row r="38">
      <c r="A38" s="13" t="inlineStr">
        <is>
          <t>• Converted = the customer's first order after abandoning, up to 30 Sep 11:59 PM IST, at current order value. Cancelled orders excluded. Later conversions are on 'By channel' as to-date addendum columns.</t>
        </is>
      </c>
    </row>
    <row r="39">
      <c r="A39" s="13" t="inlineStr">
        <is>
          <t>• Channel: Online = Online Store, App = Appbrew, Stylist = draft orders (REC AT drafts excluded, re-books split out on 'By channel').</t>
        </is>
      </c>
    </row>
    <row r="40">
      <c r="A40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(01 Sep – 30 Sep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1st</t>
        </is>
      </c>
      <c r="B4" s="6" t="n">
        <v>1014450</v>
      </c>
      <c r="C4" s="5" t="n">
        <v>3</v>
      </c>
      <c r="D4" s="5" t="n">
        <v>2</v>
      </c>
      <c r="E4" s="5" t="n">
        <v>7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44995</v>
      </c>
      <c r="K4" s="6" t="n">
        <v>42570</v>
      </c>
      <c r="L4" s="6" t="n">
        <v>114204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1</v>
      </c>
      <c r="U4" s="6" t="n">
        <v>18180</v>
      </c>
    </row>
    <row r="5">
      <c r="A5" s="4" t="inlineStr">
        <is>
          <t>2nd</t>
        </is>
      </c>
      <c r="B5" s="6" t="n">
        <v>685450</v>
      </c>
      <c r="C5" s="5" t="n">
        <v>2</v>
      </c>
      <c r="D5" s="5" t="n">
        <v>4</v>
      </c>
      <c r="E5" s="5" t="n">
        <v>3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35450</v>
      </c>
      <c r="K5" s="6" t="n">
        <v>55305</v>
      </c>
      <c r="L5" s="6" t="n">
        <v>43533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1</v>
      </c>
      <c r="S5" s="5" t="n">
        <v>0</v>
      </c>
      <c r="T5" s="5" t="n">
        <v>0</v>
      </c>
      <c r="U5" s="6" t="n">
        <v>0</v>
      </c>
    </row>
    <row r="6">
      <c r="A6" s="4" t="inlineStr">
        <is>
          <t>3rd</t>
        </is>
      </c>
      <c r="B6" s="6" t="n">
        <v>584910</v>
      </c>
      <c r="C6" s="5" t="n">
        <v>2</v>
      </c>
      <c r="D6" s="5" t="n">
        <v>1</v>
      </c>
      <c r="E6" s="5" t="n">
        <v>3</v>
      </c>
      <c r="F6" s="5" t="n">
        <v>0</v>
      </c>
      <c r="G6" s="5" t="n">
        <v>0</v>
      </c>
      <c r="H6" s="5" t="n">
        <v>1</v>
      </c>
      <c r="I6" s="9">
        <f>SUM(C6:H6)</f>
        <v/>
      </c>
      <c r="J6" s="6" t="n">
        <v>45800</v>
      </c>
      <c r="K6" s="6" t="n">
        <v>14355</v>
      </c>
      <c r="L6" s="6" t="n">
        <v>45855</v>
      </c>
      <c r="M6" s="6" t="n">
        <v>0</v>
      </c>
      <c r="N6" s="6" t="n">
        <v>0</v>
      </c>
      <c r="O6" s="6" t="n">
        <v>37300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1</v>
      </c>
      <c r="U6" s="6" t="n">
        <v>18180</v>
      </c>
    </row>
    <row r="7">
      <c r="A7" s="4" t="inlineStr">
        <is>
          <t>4th</t>
        </is>
      </c>
      <c r="B7" s="6" t="n">
        <v>776775</v>
      </c>
      <c r="C7" s="5" t="n">
        <v>1</v>
      </c>
      <c r="D7" s="5" t="n">
        <v>1</v>
      </c>
      <c r="E7" s="5" t="n">
        <v>11</v>
      </c>
      <c r="F7" s="5" t="n">
        <v>2</v>
      </c>
      <c r="G7" s="5" t="n">
        <v>0</v>
      </c>
      <c r="H7" s="5" t="n">
        <v>0</v>
      </c>
      <c r="I7" s="9">
        <f>SUM(C7:H7)</f>
        <v/>
      </c>
      <c r="J7" s="6" t="n">
        <v>9520</v>
      </c>
      <c r="K7" s="6" t="n">
        <v>9520</v>
      </c>
      <c r="L7" s="6" t="n">
        <v>168097</v>
      </c>
      <c r="M7" s="6" t="n">
        <v>64805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1</v>
      </c>
      <c r="S7" s="5" t="n">
        <v>0</v>
      </c>
      <c r="T7" s="5" t="n">
        <v>1</v>
      </c>
      <c r="U7" s="6" t="n">
        <v>7200</v>
      </c>
    </row>
    <row r="8">
      <c r="A8" s="4" t="inlineStr">
        <is>
          <t>5th</t>
        </is>
      </c>
      <c r="B8" s="6" t="n">
        <v>1161465</v>
      </c>
      <c r="C8" s="5" t="n">
        <v>2</v>
      </c>
      <c r="D8" s="5" t="n">
        <v>3</v>
      </c>
      <c r="E8" s="5" t="n">
        <v>11</v>
      </c>
      <c r="F8" s="5" t="n">
        <v>1</v>
      </c>
      <c r="G8" s="5" t="n">
        <v>1</v>
      </c>
      <c r="H8" s="5" t="n">
        <v>1</v>
      </c>
      <c r="I8" s="9">
        <f>SUM(C8:H8)</f>
        <v/>
      </c>
      <c r="J8" s="6" t="n">
        <v>22460</v>
      </c>
      <c r="K8" s="6" t="n">
        <v>33190</v>
      </c>
      <c r="L8" s="6" t="n">
        <v>173830</v>
      </c>
      <c r="M8" s="6" t="n">
        <v>13560</v>
      </c>
      <c r="N8" s="6" t="n">
        <v>13560</v>
      </c>
      <c r="O8" s="6" t="n">
        <v>47910</v>
      </c>
      <c r="P8" s="8">
        <f>SUM(J8:O8)</f>
        <v/>
      </c>
      <c r="Q8" s="7">
        <f>IFERROR(P8/B8,0)</f>
        <v/>
      </c>
      <c r="R8" s="5" t="n">
        <v>2</v>
      </c>
      <c r="S8" s="5" t="n">
        <v>0</v>
      </c>
      <c r="T8" s="5" t="n">
        <v>1</v>
      </c>
      <c r="U8" s="6" t="n">
        <v>18180</v>
      </c>
    </row>
    <row r="9">
      <c r="A9" s="4" t="inlineStr">
        <is>
          <t>6th</t>
        </is>
      </c>
      <c r="B9" s="6" t="n">
        <v>1011423</v>
      </c>
      <c r="C9" s="5" t="n">
        <v>4</v>
      </c>
      <c r="D9" s="5" t="n">
        <v>4</v>
      </c>
      <c r="E9" s="5" t="n">
        <v>6</v>
      </c>
      <c r="F9" s="5" t="n">
        <v>0</v>
      </c>
      <c r="G9" s="5" t="n">
        <v>0</v>
      </c>
      <c r="H9" s="5" t="n">
        <v>2</v>
      </c>
      <c r="I9" s="9">
        <f>SUM(C9:H9)</f>
        <v/>
      </c>
      <c r="J9" s="6" t="n">
        <v>67590</v>
      </c>
      <c r="K9" s="6" t="n">
        <v>86855</v>
      </c>
      <c r="L9" s="6" t="n">
        <v>95895</v>
      </c>
      <c r="M9" s="6" t="n">
        <v>0</v>
      </c>
      <c r="N9" s="6" t="n">
        <v>0</v>
      </c>
      <c r="O9" s="6" t="n">
        <v>20320</v>
      </c>
      <c r="P9" s="8">
        <f>SUM(J9:O9)</f>
        <v/>
      </c>
      <c r="Q9" s="7">
        <f>IFERROR(P9/B9,0)</f>
        <v/>
      </c>
      <c r="R9" s="5" t="n">
        <v>3</v>
      </c>
      <c r="S9" s="5" t="n">
        <v>0</v>
      </c>
      <c r="T9" s="5" t="n">
        <v>0</v>
      </c>
      <c r="U9" s="6" t="n">
        <v>0</v>
      </c>
    </row>
    <row r="10">
      <c r="A10" s="4" t="inlineStr">
        <is>
          <t>7th</t>
        </is>
      </c>
      <c r="B10" s="6" t="n">
        <v>673190</v>
      </c>
      <c r="C10" s="5" t="n">
        <v>2</v>
      </c>
      <c r="D10" s="5" t="n">
        <v>2</v>
      </c>
      <c r="E10" s="5" t="n">
        <v>7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27360</v>
      </c>
      <c r="K10" s="6" t="n">
        <v>39910</v>
      </c>
      <c r="L10" s="6" t="n">
        <v>123755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1</v>
      </c>
      <c r="S10" s="5" t="n">
        <v>0</v>
      </c>
      <c r="T10" s="5" t="n">
        <v>0</v>
      </c>
      <c r="U10" s="6" t="n">
        <v>0</v>
      </c>
    </row>
    <row r="11">
      <c r="A11" s="4" t="inlineStr">
        <is>
          <t>8th</t>
        </is>
      </c>
      <c r="B11" s="6" t="n">
        <v>469474</v>
      </c>
      <c r="C11" s="5" t="n">
        <v>2</v>
      </c>
      <c r="D11" s="5" t="n">
        <v>1</v>
      </c>
      <c r="E11" s="5" t="n">
        <v>3</v>
      </c>
      <c r="F11" s="5" t="n">
        <v>0</v>
      </c>
      <c r="G11" s="5" t="n">
        <v>0</v>
      </c>
      <c r="H11" s="5" t="n">
        <v>1</v>
      </c>
      <c r="I11" s="9">
        <f>SUM(C11:H11)</f>
        <v/>
      </c>
      <c r="J11" s="6" t="n">
        <v>23040</v>
      </c>
      <c r="K11" s="6" t="n">
        <v>15210</v>
      </c>
      <c r="L11" s="6" t="n">
        <v>67119</v>
      </c>
      <c r="M11" s="6" t="n">
        <v>0</v>
      </c>
      <c r="N11" s="6" t="n">
        <v>0</v>
      </c>
      <c r="O11" s="6" t="n">
        <v>13455</v>
      </c>
      <c r="P11" s="8">
        <f>SUM(J11:O11)</f>
        <v/>
      </c>
      <c r="Q11" s="7">
        <f>IFERROR(P11/B11,0)</f>
        <v/>
      </c>
      <c r="R11" s="5" t="n">
        <v>0</v>
      </c>
      <c r="S11" s="5" t="n">
        <v>0</v>
      </c>
      <c r="T11" s="5" t="n">
        <v>0</v>
      </c>
      <c r="U11" s="6" t="n">
        <v>0</v>
      </c>
    </row>
    <row r="12">
      <c r="A12" s="4" t="inlineStr">
        <is>
          <t>9th</t>
        </is>
      </c>
      <c r="B12" s="6" t="n">
        <v>517705</v>
      </c>
      <c r="C12" s="5" t="n">
        <v>3</v>
      </c>
      <c r="D12" s="5" t="n">
        <v>0</v>
      </c>
      <c r="E12" s="5" t="n">
        <v>4</v>
      </c>
      <c r="F12" s="5" t="n">
        <v>0</v>
      </c>
      <c r="G12" s="5" t="n">
        <v>0</v>
      </c>
      <c r="H12" s="5" t="n">
        <v>0</v>
      </c>
      <c r="I12" s="9">
        <f>SUM(C12:H12)</f>
        <v/>
      </c>
      <c r="J12" s="6" t="n">
        <v>59115</v>
      </c>
      <c r="K12" s="6" t="n">
        <v>0</v>
      </c>
      <c r="L12" s="6" t="n">
        <v>118925</v>
      </c>
      <c r="M12" s="6" t="n">
        <v>0</v>
      </c>
      <c r="N12" s="6" t="n">
        <v>0</v>
      </c>
      <c r="O12" s="6" t="n">
        <v>0</v>
      </c>
      <c r="P12" s="8">
        <f>SUM(J12:O12)</f>
        <v/>
      </c>
      <c r="Q12" s="7">
        <f>IFERROR(P12/B12,0)</f>
        <v/>
      </c>
      <c r="R12" s="5" t="n">
        <v>0</v>
      </c>
      <c r="S12" s="5" t="n">
        <v>0</v>
      </c>
      <c r="T12" s="5" t="n">
        <v>0</v>
      </c>
      <c r="U12" s="6" t="n">
        <v>0</v>
      </c>
    </row>
    <row r="13">
      <c r="A13" s="4" t="inlineStr">
        <is>
          <t>10th</t>
        </is>
      </c>
      <c r="B13" s="6" t="n">
        <v>625990</v>
      </c>
      <c r="C13" s="5" t="n">
        <v>0</v>
      </c>
      <c r="D13" s="5" t="n">
        <v>1</v>
      </c>
      <c r="E13" s="5" t="n">
        <v>7</v>
      </c>
      <c r="F13" s="5" t="n">
        <v>0</v>
      </c>
      <c r="G13" s="5" t="n">
        <v>0</v>
      </c>
      <c r="H13" s="5" t="n">
        <v>0</v>
      </c>
      <c r="I13" s="9">
        <f>SUM(C13:H13)</f>
        <v/>
      </c>
      <c r="J13" s="6" t="n">
        <v>0</v>
      </c>
      <c r="K13" s="6" t="n">
        <v>14450</v>
      </c>
      <c r="L13" s="6" t="n">
        <v>227376</v>
      </c>
      <c r="M13" s="6" t="n">
        <v>0</v>
      </c>
      <c r="N13" s="6" t="n">
        <v>0</v>
      </c>
      <c r="O13" s="6" t="n">
        <v>0</v>
      </c>
      <c r="P13" s="8">
        <f>SUM(J13:O13)</f>
        <v/>
      </c>
      <c r="Q13" s="7">
        <f>IFERROR(P13/B13,0)</f>
        <v/>
      </c>
      <c r="R13" s="5" t="n">
        <v>0</v>
      </c>
      <c r="S13" s="5" t="n">
        <v>0</v>
      </c>
      <c r="T13" s="5" t="n">
        <v>0</v>
      </c>
      <c r="U13" s="6" t="n">
        <v>0</v>
      </c>
    </row>
    <row r="14">
      <c r="A14" s="4" t="inlineStr">
        <is>
          <t>11th</t>
        </is>
      </c>
      <c r="B14" s="6" t="n">
        <v>727665</v>
      </c>
      <c r="C14" s="5" t="n">
        <v>4</v>
      </c>
      <c r="D14" s="5" t="n">
        <v>2</v>
      </c>
      <c r="E14" s="5" t="n">
        <v>5</v>
      </c>
      <c r="F14" s="5" t="n">
        <v>0</v>
      </c>
      <c r="G14" s="5" t="n">
        <v>0</v>
      </c>
      <c r="H14" s="5" t="n">
        <v>0</v>
      </c>
      <c r="I14" s="9">
        <f>SUM(C14:H14)</f>
        <v/>
      </c>
      <c r="J14" s="6" t="n">
        <v>67815</v>
      </c>
      <c r="K14" s="6" t="n">
        <v>30785</v>
      </c>
      <c r="L14" s="6" t="n">
        <v>84109</v>
      </c>
      <c r="M14" s="6" t="n">
        <v>0</v>
      </c>
      <c r="N14" s="6" t="n">
        <v>0</v>
      </c>
      <c r="O14" s="6" t="n">
        <v>0</v>
      </c>
      <c r="P14" s="8">
        <f>SUM(J14:O14)</f>
        <v/>
      </c>
      <c r="Q14" s="7">
        <f>IFERROR(P14/B14,0)</f>
        <v/>
      </c>
      <c r="R14" s="5" t="n">
        <v>1</v>
      </c>
      <c r="S14" s="5" t="n">
        <v>0</v>
      </c>
      <c r="T14" s="5" t="n">
        <v>0</v>
      </c>
      <c r="U14" s="6" t="n">
        <v>0</v>
      </c>
    </row>
    <row r="15">
      <c r="A15" s="4" t="inlineStr">
        <is>
          <t>12th</t>
        </is>
      </c>
      <c r="B15" s="6" t="n">
        <v>665970</v>
      </c>
      <c r="C15" s="5" t="n">
        <v>3</v>
      </c>
      <c r="D15" s="5" t="n">
        <v>3</v>
      </c>
      <c r="E15" s="5" t="n">
        <v>5</v>
      </c>
      <c r="F15" s="5" t="n">
        <v>1</v>
      </c>
      <c r="G15" s="5" t="n">
        <v>1</v>
      </c>
      <c r="H15" s="5" t="n">
        <v>2</v>
      </c>
      <c r="I15" s="9">
        <f>SUM(C15:H15)</f>
        <v/>
      </c>
      <c r="J15" s="6" t="n">
        <v>42255</v>
      </c>
      <c r="K15" s="6" t="n">
        <v>43195</v>
      </c>
      <c r="L15" s="6" t="n">
        <v>113674</v>
      </c>
      <c r="M15" s="6" t="n">
        <v>17955</v>
      </c>
      <c r="N15" s="6" t="n">
        <v>14310</v>
      </c>
      <c r="O15" s="6" t="n">
        <v>23515</v>
      </c>
      <c r="P15" s="8">
        <f>SUM(J15:O15)</f>
        <v/>
      </c>
      <c r="Q15" s="7">
        <f>IFERROR(P15/B15,0)</f>
        <v/>
      </c>
      <c r="R15" s="5" t="n">
        <v>0</v>
      </c>
      <c r="S15" s="5" t="n">
        <v>0</v>
      </c>
      <c r="T15" s="5" t="n">
        <v>0</v>
      </c>
      <c r="U15" s="6" t="n">
        <v>0</v>
      </c>
    </row>
    <row r="16">
      <c r="A16" s="4" t="inlineStr">
        <is>
          <t>13th</t>
        </is>
      </c>
      <c r="B16" s="6" t="n">
        <v>627638</v>
      </c>
      <c r="C16" s="5" t="n">
        <v>2</v>
      </c>
      <c r="D16" s="5" t="n">
        <v>1</v>
      </c>
      <c r="E16" s="5" t="n">
        <v>10</v>
      </c>
      <c r="F16" s="5" t="n">
        <v>1</v>
      </c>
      <c r="G16" s="5" t="n">
        <v>0</v>
      </c>
      <c r="H16" s="5" t="n">
        <v>0</v>
      </c>
      <c r="I16" s="9">
        <f>SUM(C16:H16)</f>
        <v/>
      </c>
      <c r="J16" s="6" t="n">
        <v>24870</v>
      </c>
      <c r="K16" s="6" t="n">
        <v>17910</v>
      </c>
      <c r="L16" s="6" t="n">
        <v>212737</v>
      </c>
      <c r="M16" s="6" t="n">
        <v>13960</v>
      </c>
      <c r="N16" s="6" t="n">
        <v>0</v>
      </c>
      <c r="O16" s="6" t="n">
        <v>0</v>
      </c>
      <c r="P16" s="8">
        <f>SUM(J16:O16)</f>
        <v/>
      </c>
      <c r="Q16" s="7">
        <f>IFERROR(P16/B16,0)</f>
        <v/>
      </c>
      <c r="R16" s="5" t="n">
        <v>0</v>
      </c>
      <c r="S16" s="5" t="n">
        <v>0</v>
      </c>
      <c r="T16" s="5" t="n">
        <v>0</v>
      </c>
      <c r="U16" s="6" t="n">
        <v>0</v>
      </c>
    </row>
    <row r="17">
      <c r="A17" s="4" t="inlineStr">
        <is>
          <t>14th</t>
        </is>
      </c>
      <c r="B17" s="6" t="n">
        <v>471435</v>
      </c>
      <c r="C17" s="5" t="n">
        <v>2</v>
      </c>
      <c r="D17" s="5" t="n">
        <v>2</v>
      </c>
      <c r="E17" s="5" t="n">
        <v>8</v>
      </c>
      <c r="F17" s="5" t="n">
        <v>1</v>
      </c>
      <c r="G17" s="5" t="n">
        <v>0</v>
      </c>
      <c r="H17" s="5" t="n">
        <v>0</v>
      </c>
      <c r="I17" s="9">
        <f>SUM(C17:H17)</f>
        <v/>
      </c>
      <c r="J17" s="6" t="n">
        <v>31550</v>
      </c>
      <c r="K17" s="6" t="n">
        <v>25975</v>
      </c>
      <c r="L17" s="6" t="n">
        <v>125575</v>
      </c>
      <c r="M17" s="6" t="n">
        <v>15120</v>
      </c>
      <c r="N17" s="6" t="n">
        <v>0</v>
      </c>
      <c r="O17" s="6" t="n">
        <v>0</v>
      </c>
      <c r="P17" s="8">
        <f>SUM(J17:O17)</f>
        <v/>
      </c>
      <c r="Q17" s="7">
        <f>IFERROR(P17/B17,0)</f>
        <v/>
      </c>
      <c r="R17" s="5" t="n">
        <v>0</v>
      </c>
      <c r="S17" s="5" t="n">
        <v>0</v>
      </c>
      <c r="T17" s="5" t="n">
        <v>0</v>
      </c>
      <c r="U17" s="6" t="n">
        <v>0</v>
      </c>
    </row>
    <row r="18">
      <c r="A18" s="4" t="inlineStr">
        <is>
          <t>15th</t>
        </is>
      </c>
      <c r="B18" s="6" t="n">
        <v>727175</v>
      </c>
      <c r="C18" s="5" t="n">
        <v>2</v>
      </c>
      <c r="D18" s="5" t="n">
        <v>0</v>
      </c>
      <c r="E18" s="5" t="n">
        <v>6</v>
      </c>
      <c r="F18" s="5" t="n">
        <v>0</v>
      </c>
      <c r="G18" s="5" t="n">
        <v>0</v>
      </c>
      <c r="H18" s="5" t="n">
        <v>0</v>
      </c>
      <c r="I18" s="9">
        <f>SUM(C18:H18)</f>
        <v/>
      </c>
      <c r="J18" s="6" t="n">
        <v>29895</v>
      </c>
      <c r="K18" s="6" t="n">
        <v>0</v>
      </c>
      <c r="L18" s="6" t="n">
        <v>103050</v>
      </c>
      <c r="M18" s="6" t="n">
        <v>0</v>
      </c>
      <c r="N18" s="6" t="n">
        <v>0</v>
      </c>
      <c r="O18" s="6" t="n">
        <v>0</v>
      </c>
      <c r="P18" s="8">
        <f>SUM(J18:O18)</f>
        <v/>
      </c>
      <c r="Q18" s="7">
        <f>IFERROR(P18/B18,0)</f>
        <v/>
      </c>
      <c r="R18" s="5" t="n">
        <v>0</v>
      </c>
      <c r="S18" s="5" t="n">
        <v>0</v>
      </c>
      <c r="T18" s="5" t="n">
        <v>0</v>
      </c>
      <c r="U18" s="6" t="n">
        <v>0</v>
      </c>
    </row>
    <row r="19">
      <c r="A19" s="4" t="inlineStr">
        <is>
          <t>16th</t>
        </is>
      </c>
      <c r="B19" s="6" t="n">
        <v>884715</v>
      </c>
      <c r="C19" s="5" t="n">
        <v>3</v>
      </c>
      <c r="D19" s="5" t="n">
        <v>3</v>
      </c>
      <c r="E19" s="5" t="n">
        <v>3</v>
      </c>
      <c r="F19" s="5" t="n">
        <v>0</v>
      </c>
      <c r="G19" s="5" t="n">
        <v>0</v>
      </c>
      <c r="H19" s="5" t="n">
        <v>0</v>
      </c>
      <c r="I19" s="9">
        <f>SUM(C19:H19)</f>
        <v/>
      </c>
      <c r="J19" s="6" t="n">
        <v>57790</v>
      </c>
      <c r="K19" s="6" t="n">
        <v>53280</v>
      </c>
      <c r="L19" s="6" t="n">
        <v>69970</v>
      </c>
      <c r="M19" s="6" t="n">
        <v>0</v>
      </c>
      <c r="N19" s="6" t="n">
        <v>0</v>
      </c>
      <c r="O19" s="6" t="n">
        <v>0</v>
      </c>
      <c r="P19" s="8">
        <f>SUM(J19:O19)</f>
        <v/>
      </c>
      <c r="Q19" s="7">
        <f>IFERROR(P19/B19,0)</f>
        <v/>
      </c>
      <c r="R19" s="5" t="n">
        <v>0</v>
      </c>
      <c r="S19" s="5" t="n">
        <v>0</v>
      </c>
      <c r="T19" s="5" t="n">
        <v>1</v>
      </c>
      <c r="U19" s="6" t="n">
        <v>20610</v>
      </c>
    </row>
    <row r="20">
      <c r="A20" s="4" t="inlineStr">
        <is>
          <t>17th</t>
        </is>
      </c>
      <c r="B20" s="6" t="n">
        <v>710506</v>
      </c>
      <c r="C20" s="5" t="n">
        <v>1</v>
      </c>
      <c r="D20" s="5" t="n">
        <v>2</v>
      </c>
      <c r="E20" s="5" t="n">
        <v>5</v>
      </c>
      <c r="F20" s="5" t="n">
        <v>0</v>
      </c>
      <c r="G20" s="5" t="n">
        <v>0</v>
      </c>
      <c r="H20" s="5" t="n">
        <v>0</v>
      </c>
      <c r="I20" s="9">
        <f>SUM(C20:H20)</f>
        <v/>
      </c>
      <c r="J20" s="6" t="n">
        <v>14265</v>
      </c>
      <c r="K20" s="6" t="n">
        <v>30690</v>
      </c>
      <c r="L20" s="6" t="n">
        <v>70950</v>
      </c>
      <c r="M20" s="6" t="n">
        <v>0</v>
      </c>
      <c r="N20" s="6" t="n">
        <v>0</v>
      </c>
      <c r="O20" s="6" t="n">
        <v>0</v>
      </c>
      <c r="P20" s="8">
        <f>SUM(J20:O20)</f>
        <v/>
      </c>
      <c r="Q20" s="7">
        <f>IFERROR(P20/B20,0)</f>
        <v/>
      </c>
      <c r="R20" s="5" t="n">
        <v>0</v>
      </c>
      <c r="S20" s="5" t="n">
        <v>0</v>
      </c>
      <c r="T20" s="5" t="n">
        <v>0</v>
      </c>
      <c r="U20" s="6" t="n">
        <v>0</v>
      </c>
    </row>
    <row r="21">
      <c r="A21" s="4" t="inlineStr">
        <is>
          <t>18th</t>
        </is>
      </c>
      <c r="B21" s="6" t="n">
        <v>722835</v>
      </c>
      <c r="C21" s="5" t="n">
        <v>3</v>
      </c>
      <c r="D21" s="5" t="n">
        <v>1</v>
      </c>
      <c r="E21" s="5" t="n">
        <v>4</v>
      </c>
      <c r="F21" s="5" t="n">
        <v>0</v>
      </c>
      <c r="G21" s="5" t="n">
        <v>0</v>
      </c>
      <c r="H21" s="5" t="n">
        <v>1</v>
      </c>
      <c r="I21" s="9">
        <f>SUM(C21:H21)</f>
        <v/>
      </c>
      <c r="J21" s="6" t="n">
        <v>43595</v>
      </c>
      <c r="K21" s="6" t="n">
        <v>21900</v>
      </c>
      <c r="L21" s="6" t="n">
        <v>77899</v>
      </c>
      <c r="M21" s="6" t="n">
        <v>0</v>
      </c>
      <c r="N21" s="6" t="n">
        <v>0</v>
      </c>
      <c r="O21" s="6" t="n">
        <v>19960</v>
      </c>
      <c r="P21" s="8">
        <f>SUM(J21:O21)</f>
        <v/>
      </c>
      <c r="Q21" s="7">
        <f>IFERROR(P21/B21,0)</f>
        <v/>
      </c>
      <c r="R21" s="5" t="n">
        <v>0</v>
      </c>
      <c r="S21" s="5" t="n">
        <v>0</v>
      </c>
      <c r="T21" s="5" t="n">
        <v>0</v>
      </c>
      <c r="U21" s="6" t="n">
        <v>0</v>
      </c>
    </row>
    <row r="22">
      <c r="A22" s="4" t="inlineStr">
        <is>
          <t>19th</t>
        </is>
      </c>
      <c r="B22" s="6" t="n">
        <v>707645</v>
      </c>
      <c r="C22" s="5" t="n">
        <v>3</v>
      </c>
      <c r="D22" s="5" t="n">
        <v>2</v>
      </c>
      <c r="E22" s="5" t="n">
        <v>3</v>
      </c>
      <c r="F22" s="5" t="n">
        <v>0</v>
      </c>
      <c r="G22" s="5" t="n">
        <v>0</v>
      </c>
      <c r="H22" s="5" t="n">
        <v>0</v>
      </c>
      <c r="I22" s="9">
        <f>SUM(C22:H22)</f>
        <v/>
      </c>
      <c r="J22" s="6" t="n">
        <v>42715</v>
      </c>
      <c r="K22" s="6" t="n">
        <v>44155</v>
      </c>
      <c r="L22" s="6" t="n">
        <v>72285</v>
      </c>
      <c r="M22" s="6" t="n">
        <v>0</v>
      </c>
      <c r="N22" s="6" t="n">
        <v>0</v>
      </c>
      <c r="O22" s="6" t="n">
        <v>0</v>
      </c>
      <c r="P22" s="8">
        <f>SUM(J22:O22)</f>
        <v/>
      </c>
      <c r="Q22" s="7">
        <f>IFERROR(P22/B22,0)</f>
        <v/>
      </c>
      <c r="R22" s="5" t="n">
        <v>1</v>
      </c>
      <c r="S22" s="5" t="n">
        <v>0</v>
      </c>
      <c r="T22" s="5" t="n">
        <v>0</v>
      </c>
      <c r="U22" s="6" t="n">
        <v>0</v>
      </c>
    </row>
    <row r="23">
      <c r="A23" s="4" t="inlineStr">
        <is>
          <t>20th</t>
        </is>
      </c>
      <c r="B23" s="6" t="n">
        <v>860625</v>
      </c>
      <c r="C23" s="5" t="n">
        <v>3</v>
      </c>
      <c r="D23" s="5" t="n">
        <v>4</v>
      </c>
      <c r="E23" s="5" t="n">
        <v>3</v>
      </c>
      <c r="F23" s="5" t="n">
        <v>0</v>
      </c>
      <c r="G23" s="5" t="n">
        <v>0</v>
      </c>
      <c r="H23" s="5" t="n">
        <v>1</v>
      </c>
      <c r="I23" s="9">
        <f>SUM(C23:H23)</f>
        <v/>
      </c>
      <c r="J23" s="6" t="n">
        <v>39580</v>
      </c>
      <c r="K23" s="6" t="n">
        <v>87430</v>
      </c>
      <c r="L23" s="6" t="n">
        <v>54555</v>
      </c>
      <c r="M23" s="6" t="n">
        <v>0</v>
      </c>
      <c r="N23" s="6" t="n">
        <v>0</v>
      </c>
      <c r="O23" s="6" t="n">
        <v>33360</v>
      </c>
      <c r="P23" s="8">
        <f>SUM(J23:O23)</f>
        <v/>
      </c>
      <c r="Q23" s="7">
        <f>IFERROR(P23/B23,0)</f>
        <v/>
      </c>
      <c r="R23" s="5" t="n">
        <v>0</v>
      </c>
      <c r="S23" s="5" t="n">
        <v>0</v>
      </c>
      <c r="T23" s="5" t="n">
        <v>1</v>
      </c>
      <c r="U23" s="6" t="n">
        <v>3555</v>
      </c>
    </row>
    <row r="24">
      <c r="A24" s="4" t="inlineStr">
        <is>
          <t>21st</t>
        </is>
      </c>
      <c r="B24" s="6" t="n">
        <v>948736</v>
      </c>
      <c r="C24" s="5" t="n">
        <v>2</v>
      </c>
      <c r="D24" s="5" t="n">
        <v>4</v>
      </c>
      <c r="E24" s="5" t="n">
        <v>4</v>
      </c>
      <c r="F24" s="5" t="n">
        <v>0</v>
      </c>
      <c r="G24" s="5" t="n">
        <v>0</v>
      </c>
      <c r="H24" s="5" t="n">
        <v>0</v>
      </c>
      <c r="I24" s="9">
        <f>SUM(C24:H24)</f>
        <v/>
      </c>
      <c r="J24" s="6" t="n">
        <v>32130</v>
      </c>
      <c r="K24" s="6" t="n">
        <v>107020</v>
      </c>
      <c r="L24" s="6" t="n">
        <v>66941</v>
      </c>
      <c r="M24" s="6" t="n">
        <v>0</v>
      </c>
      <c r="N24" s="6" t="n">
        <v>0</v>
      </c>
      <c r="O24" s="6" t="n">
        <v>0</v>
      </c>
      <c r="P24" s="8">
        <f>SUM(J24:O24)</f>
        <v/>
      </c>
      <c r="Q24" s="7">
        <f>IFERROR(P24/B24,0)</f>
        <v/>
      </c>
      <c r="R24" s="5" t="n">
        <v>0</v>
      </c>
      <c r="S24" s="5" t="n">
        <v>0</v>
      </c>
      <c r="T24" s="5" t="n">
        <v>3</v>
      </c>
      <c r="U24" s="6" t="n">
        <v>55190</v>
      </c>
    </row>
    <row r="25">
      <c r="A25" s="4" t="inlineStr">
        <is>
          <t>22nd</t>
        </is>
      </c>
      <c r="B25" s="6" t="n">
        <v>483671</v>
      </c>
      <c r="C25" s="5" t="n">
        <v>2</v>
      </c>
      <c r="D25" s="5" t="n">
        <v>0</v>
      </c>
      <c r="E25" s="5" t="n">
        <v>5</v>
      </c>
      <c r="F25" s="5" t="n">
        <v>0</v>
      </c>
      <c r="G25" s="5" t="n">
        <v>0</v>
      </c>
      <c r="H25" s="5" t="n">
        <v>0</v>
      </c>
      <c r="I25" s="9">
        <f>SUM(C25:H25)</f>
        <v/>
      </c>
      <c r="J25" s="6" t="n">
        <v>36200</v>
      </c>
      <c r="K25" s="6" t="n">
        <v>0</v>
      </c>
      <c r="L25" s="6" t="n">
        <v>87970</v>
      </c>
      <c r="M25" s="6" t="n">
        <v>0</v>
      </c>
      <c r="N25" s="6" t="n">
        <v>0</v>
      </c>
      <c r="O25" s="6" t="n">
        <v>0</v>
      </c>
      <c r="P25" s="8">
        <f>SUM(J25:O25)</f>
        <v/>
      </c>
      <c r="Q25" s="7">
        <f>IFERROR(P25/B25,0)</f>
        <v/>
      </c>
      <c r="R25" s="5" t="n">
        <v>0</v>
      </c>
      <c r="S25" s="5" t="n">
        <v>0</v>
      </c>
      <c r="T25" s="5" t="n">
        <v>0</v>
      </c>
      <c r="U25" s="6" t="n">
        <v>0</v>
      </c>
    </row>
    <row r="26">
      <c r="A26" s="4" t="inlineStr">
        <is>
          <t>23rd</t>
        </is>
      </c>
      <c r="B26" s="6" t="n">
        <v>738348</v>
      </c>
      <c r="C26" s="5" t="n">
        <v>3</v>
      </c>
      <c r="D26" s="5" t="n">
        <v>2</v>
      </c>
      <c r="E26" s="5" t="n">
        <v>5</v>
      </c>
      <c r="F26" s="5" t="n">
        <v>0</v>
      </c>
      <c r="G26" s="5" t="n">
        <v>1</v>
      </c>
      <c r="H26" s="5" t="n">
        <v>0</v>
      </c>
      <c r="I26" s="9">
        <f>SUM(C26:H26)</f>
        <v/>
      </c>
      <c r="J26" s="6" t="n">
        <v>30585</v>
      </c>
      <c r="K26" s="6" t="n">
        <v>22360</v>
      </c>
      <c r="L26" s="6" t="n">
        <v>95770</v>
      </c>
      <c r="M26" s="6" t="n">
        <v>0</v>
      </c>
      <c r="N26" s="6" t="n">
        <v>15615</v>
      </c>
      <c r="O26" s="6" t="n">
        <v>0</v>
      </c>
      <c r="P26" s="8">
        <f>SUM(J26:O26)</f>
        <v/>
      </c>
      <c r="Q26" s="7">
        <f>IFERROR(P26/B26,0)</f>
        <v/>
      </c>
      <c r="R26" s="5" t="n">
        <v>1</v>
      </c>
      <c r="S26" s="5" t="n">
        <v>0</v>
      </c>
      <c r="T26" s="5" t="n">
        <v>0</v>
      </c>
      <c r="U26" s="6" t="n">
        <v>0</v>
      </c>
    </row>
    <row r="27">
      <c r="A27" s="4" t="inlineStr">
        <is>
          <t>24th</t>
        </is>
      </c>
      <c r="B27" s="6" t="n">
        <v>591985</v>
      </c>
      <c r="C27" s="5" t="n">
        <v>1</v>
      </c>
      <c r="D27" s="5" t="n">
        <v>0</v>
      </c>
      <c r="E27" s="5" t="n">
        <v>8</v>
      </c>
      <c r="F27" s="5" t="n">
        <v>0</v>
      </c>
      <c r="G27" s="5" t="n">
        <v>0</v>
      </c>
      <c r="H27" s="5" t="n">
        <v>0</v>
      </c>
      <c r="I27" s="9">
        <f>SUM(C27:H27)</f>
        <v/>
      </c>
      <c r="J27" s="6" t="n">
        <v>12105</v>
      </c>
      <c r="K27" s="6" t="n">
        <v>0</v>
      </c>
      <c r="L27" s="6" t="n">
        <v>119375</v>
      </c>
      <c r="M27" s="6" t="n">
        <v>0</v>
      </c>
      <c r="N27" s="6" t="n">
        <v>0</v>
      </c>
      <c r="O27" s="6" t="n">
        <v>0</v>
      </c>
      <c r="P27" s="8">
        <f>SUM(J27:O27)</f>
        <v/>
      </c>
      <c r="Q27" s="7">
        <f>IFERROR(P27/B27,0)</f>
        <v/>
      </c>
      <c r="R27" s="5" t="n">
        <v>1</v>
      </c>
      <c r="S27" s="5" t="n">
        <v>0</v>
      </c>
      <c r="T27" s="5" t="n">
        <v>1</v>
      </c>
      <c r="U27" s="6" t="n">
        <v>12555</v>
      </c>
    </row>
    <row r="28">
      <c r="A28" s="4" t="inlineStr">
        <is>
          <t>25th</t>
        </is>
      </c>
      <c r="B28" s="6" t="n">
        <v>631354</v>
      </c>
      <c r="C28" s="5" t="n">
        <v>3</v>
      </c>
      <c r="D28" s="5" t="n">
        <v>2</v>
      </c>
      <c r="E28" s="5" t="n">
        <v>6</v>
      </c>
      <c r="F28" s="5" t="n">
        <v>1</v>
      </c>
      <c r="G28" s="5" t="n">
        <v>0</v>
      </c>
      <c r="H28" s="5" t="n">
        <v>0</v>
      </c>
      <c r="I28" s="9">
        <f>SUM(C28:H28)</f>
        <v/>
      </c>
      <c r="J28" s="6" t="n">
        <v>53130</v>
      </c>
      <c r="K28" s="6" t="n">
        <v>14280</v>
      </c>
      <c r="L28" s="6" t="n">
        <v>98454</v>
      </c>
      <c r="M28" s="6" t="n">
        <v>19710</v>
      </c>
      <c r="N28" s="6" t="n">
        <v>0</v>
      </c>
      <c r="O28" s="6" t="n">
        <v>0</v>
      </c>
      <c r="P28" s="8">
        <f>SUM(J28:O28)</f>
        <v/>
      </c>
      <c r="Q28" s="7">
        <f>IFERROR(P28/B28,0)</f>
        <v/>
      </c>
      <c r="R28" s="5" t="n">
        <v>1</v>
      </c>
      <c r="S28" s="5" t="n">
        <v>0</v>
      </c>
      <c r="T28" s="5" t="n">
        <v>0</v>
      </c>
      <c r="U28" s="6" t="n">
        <v>0</v>
      </c>
    </row>
    <row r="29">
      <c r="A29" s="4" t="inlineStr">
        <is>
          <t>26th</t>
        </is>
      </c>
      <c r="B29" s="6" t="n">
        <v>771655</v>
      </c>
      <c r="C29" s="5" t="n">
        <v>2</v>
      </c>
      <c r="D29" s="5" t="n">
        <v>0</v>
      </c>
      <c r="E29" s="5" t="n">
        <v>4</v>
      </c>
      <c r="F29" s="5" t="n">
        <v>1</v>
      </c>
      <c r="G29" s="5" t="n">
        <v>0</v>
      </c>
      <c r="H29" s="5" t="n">
        <v>0</v>
      </c>
      <c r="I29" s="9">
        <f>SUM(C29:H29)</f>
        <v/>
      </c>
      <c r="J29" s="6" t="n">
        <v>41765</v>
      </c>
      <c r="K29" s="6" t="n">
        <v>0</v>
      </c>
      <c r="L29" s="6" t="n">
        <v>171435</v>
      </c>
      <c r="M29" s="6" t="n">
        <v>13455</v>
      </c>
      <c r="N29" s="6" t="n">
        <v>0</v>
      </c>
      <c r="O29" s="6" t="n">
        <v>0</v>
      </c>
      <c r="P29" s="8">
        <f>SUM(J29:O29)</f>
        <v/>
      </c>
      <c r="Q29" s="7">
        <f>IFERROR(P29/B29,0)</f>
        <v/>
      </c>
      <c r="R29" s="5" t="n">
        <v>0</v>
      </c>
      <c r="S29" s="5" t="n">
        <v>1</v>
      </c>
      <c r="T29" s="5" t="n">
        <v>0</v>
      </c>
      <c r="U29" s="6" t="n">
        <v>0</v>
      </c>
    </row>
    <row r="30">
      <c r="A30" s="4" t="inlineStr">
        <is>
          <t>27th</t>
        </is>
      </c>
      <c r="B30" s="6" t="n">
        <v>1244530</v>
      </c>
      <c r="C30" s="5" t="n">
        <v>1</v>
      </c>
      <c r="D30" s="5" t="n">
        <v>0</v>
      </c>
      <c r="E30" s="5" t="n">
        <v>4</v>
      </c>
      <c r="F30" s="5" t="n">
        <v>0</v>
      </c>
      <c r="G30" s="5" t="n">
        <v>0</v>
      </c>
      <c r="H30" s="5" t="n">
        <v>0</v>
      </c>
      <c r="I30" s="9">
        <f>SUM(C30:H30)</f>
        <v/>
      </c>
      <c r="J30" s="6" t="n">
        <v>12510</v>
      </c>
      <c r="K30" s="6" t="n">
        <v>0</v>
      </c>
      <c r="L30" s="6" t="n">
        <v>176034</v>
      </c>
      <c r="M30" s="6" t="n">
        <v>0</v>
      </c>
      <c r="N30" s="6" t="n">
        <v>0</v>
      </c>
      <c r="O30" s="6" t="n">
        <v>0</v>
      </c>
      <c r="P30" s="8">
        <f>SUM(J30:O30)</f>
        <v/>
      </c>
      <c r="Q30" s="7">
        <f>IFERROR(P30/B30,0)</f>
        <v/>
      </c>
      <c r="R30" s="5" t="n">
        <v>1</v>
      </c>
      <c r="S30" s="5" t="n">
        <v>0</v>
      </c>
      <c r="T30" s="5" t="n">
        <v>1</v>
      </c>
      <c r="U30" s="6" t="n">
        <v>15210</v>
      </c>
    </row>
    <row r="31">
      <c r="A31" s="4" t="inlineStr">
        <is>
          <t>28th</t>
        </is>
      </c>
      <c r="B31" s="6" t="n">
        <v>935710</v>
      </c>
      <c r="C31" s="5" t="n">
        <v>2</v>
      </c>
      <c r="D31" s="5" t="n">
        <v>0</v>
      </c>
      <c r="E31" s="5" t="n">
        <v>5</v>
      </c>
      <c r="F31" s="5" t="n">
        <v>0</v>
      </c>
      <c r="G31" s="5" t="n">
        <v>0</v>
      </c>
      <c r="H31" s="5" t="n">
        <v>0</v>
      </c>
      <c r="I31" s="9">
        <f>SUM(C31:H31)</f>
        <v/>
      </c>
      <c r="J31" s="6" t="n">
        <v>64460</v>
      </c>
      <c r="K31" s="6" t="n">
        <v>0</v>
      </c>
      <c r="L31" s="6" t="n">
        <v>86294</v>
      </c>
      <c r="M31" s="6" t="n">
        <v>0</v>
      </c>
      <c r="N31" s="6" t="n">
        <v>0</v>
      </c>
      <c r="O31" s="6" t="n">
        <v>0</v>
      </c>
      <c r="P31" s="8">
        <f>SUM(J31:O31)</f>
        <v/>
      </c>
      <c r="Q31" s="7">
        <f>IFERROR(P31/B31,0)</f>
        <v/>
      </c>
      <c r="R31" s="5" t="n">
        <v>1</v>
      </c>
      <c r="S31" s="5" t="n">
        <v>0</v>
      </c>
      <c r="T31" s="5" t="n">
        <v>1</v>
      </c>
      <c r="U31" s="6" t="n">
        <v>35810</v>
      </c>
    </row>
    <row r="32">
      <c r="A32" s="4" t="inlineStr">
        <is>
          <t>29th</t>
        </is>
      </c>
      <c r="B32" s="6" t="n">
        <v>640015</v>
      </c>
      <c r="C32" s="5" t="n">
        <v>3</v>
      </c>
      <c r="D32" s="5" t="n">
        <v>3</v>
      </c>
      <c r="E32" s="5" t="n">
        <v>2</v>
      </c>
      <c r="F32" s="5" t="n">
        <v>0</v>
      </c>
      <c r="G32" s="5" t="n">
        <v>0</v>
      </c>
      <c r="H32" s="5" t="n">
        <v>0</v>
      </c>
      <c r="I32" s="9">
        <f>SUM(C32:H32)</f>
        <v/>
      </c>
      <c r="J32" s="6" t="n">
        <v>49500</v>
      </c>
      <c r="K32" s="6" t="n">
        <v>53775</v>
      </c>
      <c r="L32" s="6" t="n">
        <v>29925</v>
      </c>
      <c r="M32" s="6" t="n">
        <v>0</v>
      </c>
      <c r="N32" s="6" t="n">
        <v>0</v>
      </c>
      <c r="O32" s="6" t="n">
        <v>0</v>
      </c>
      <c r="P32" s="8">
        <f>SUM(J32:O32)</f>
        <v/>
      </c>
      <c r="Q32" s="7">
        <f>IFERROR(P32/B32,0)</f>
        <v/>
      </c>
      <c r="R32" s="5" t="n">
        <v>0</v>
      </c>
      <c r="S32" s="5" t="n">
        <v>0</v>
      </c>
      <c r="T32" s="5" t="n">
        <v>3</v>
      </c>
      <c r="U32" s="6" t="n">
        <v>63180</v>
      </c>
    </row>
    <row r="33">
      <c r="A33" s="4" t="inlineStr">
        <is>
          <t>30th</t>
        </is>
      </c>
      <c r="B33" s="6" t="n">
        <v>1589326</v>
      </c>
      <c r="C33" s="5" t="n">
        <v>1</v>
      </c>
      <c r="D33" s="5" t="n">
        <v>0</v>
      </c>
      <c r="E33" s="5" t="n">
        <v>1</v>
      </c>
      <c r="F33" s="5" t="n">
        <v>0</v>
      </c>
      <c r="G33" s="5" t="n">
        <v>0</v>
      </c>
      <c r="H33" s="5" t="n">
        <v>0</v>
      </c>
      <c r="I33" s="9">
        <f>SUM(C33:H33)</f>
        <v/>
      </c>
      <c r="J33" s="6" t="n">
        <v>17900</v>
      </c>
      <c r="K33" s="6" t="n">
        <v>0</v>
      </c>
      <c r="L33" s="6" t="n">
        <v>12360</v>
      </c>
      <c r="M33" s="6" t="n">
        <v>0</v>
      </c>
      <c r="N33" s="6" t="n">
        <v>0</v>
      </c>
      <c r="O33" s="6" t="n">
        <v>0</v>
      </c>
      <c r="P33" s="8">
        <f>SUM(J33:O33)</f>
        <v/>
      </c>
      <c r="Q33" s="7">
        <f>IFERROR(P33/B33,0)</f>
        <v/>
      </c>
      <c r="R33" s="5" t="n">
        <v>0</v>
      </c>
      <c r="S33" s="5" t="n">
        <v>0</v>
      </c>
      <c r="T33" s="5" t="n">
        <v>3</v>
      </c>
      <c r="U33" s="6" t="n">
        <v>72640</v>
      </c>
    </row>
    <row r="34">
      <c r="A34" s="4" t="inlineStr">
        <is>
          <t>Period</t>
        </is>
      </c>
      <c r="B34" s="10">
        <f>SUM(B4:B33)</f>
        <v/>
      </c>
      <c r="C34" s="4">
        <f>SUM(C4:C33)</f>
        <v/>
      </c>
      <c r="D34" s="4">
        <f>SUM(D4:D33)</f>
        <v/>
      </c>
      <c r="E34" s="4">
        <f>SUM(E4:E33)</f>
        <v/>
      </c>
      <c r="F34" s="4">
        <f>SUM(F4:F33)</f>
        <v/>
      </c>
      <c r="G34" s="4">
        <f>SUM(G4:G33)</f>
        <v/>
      </c>
      <c r="H34" s="4">
        <f>SUM(H4:H33)</f>
        <v/>
      </c>
      <c r="I34" s="4">
        <f>SUM(I4:I33)</f>
        <v/>
      </c>
      <c r="J34" s="10">
        <f>SUM(J4:J33)</f>
        <v/>
      </c>
      <c r="K34" s="10">
        <f>SUM(K4:K33)</f>
        <v/>
      </c>
      <c r="L34" s="10">
        <f>SUM(L4:L33)</f>
        <v/>
      </c>
      <c r="M34" s="10">
        <f>SUM(M4:M33)</f>
        <v/>
      </c>
      <c r="N34" s="10">
        <f>SUM(N4:N33)</f>
        <v/>
      </c>
      <c r="O34" s="10">
        <f>SUM(O4:O33)</f>
        <v/>
      </c>
      <c r="P34" s="10">
        <f>SUM(P4:P33)</f>
        <v/>
      </c>
      <c r="Q34" s="11">
        <f>IFERROR(P34/B34,0)</f>
        <v/>
      </c>
      <c r="R34" s="4">
        <f>SUM(R4:R33)</f>
        <v/>
      </c>
      <c r="S34" s="4">
        <f>SUM(S4:S33)</f>
        <v/>
      </c>
      <c r="T34" s="4">
        <f>SUM(T4:T33)</f>
        <v/>
      </c>
      <c r="U34" s="10">
        <f>SUM(U4:U33)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2026-10-03T08:55:29Z</dcterms:created>
  <dcterms:modified xsi:type="dcterms:W3CDTF">2026-10-03T08:55:29Z</dcterms:modified>
</cp:coreProperties>
</file>