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y channe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sz val="11"/>
    </font>
    <font>
      <name val="Arial"/>
      <b val="1"/>
      <color rgb="00000000"/>
      <sz val="10"/>
    </font>
    <font>
      <name val="Arial"/>
      <color rgb="000000FF"/>
      <sz val="10"/>
    </font>
    <font>
      <name val="Arial"/>
      <color rgb="00000000"/>
      <sz val="10"/>
    </font>
    <font>
      <name val="Arial"/>
      <sz val="9"/>
    </font>
    <font>
      <name val="Arial"/>
      <i val="1"/>
      <sz val="9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0" borderId="1" pivotButton="0" quotePrefix="0" xfId="0"/>
    <xf numFmtId="0" fontId="4" fillId="0" borderId="1" pivotButton="0" quotePrefix="0" xfId="0"/>
    <xf numFmtId="3" fontId="4" fillId="0" borderId="1" pivotButton="0" quotePrefix="0" xfId="0"/>
    <xf numFmtId="164" fontId="5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7" customWidth="1" min="2" max="2"/>
    <col width="16" customWidth="1" min="3" max="3"/>
    <col width="15" customWidth="1" min="4" max="4"/>
    <col width="8" customWidth="1" min="5" max="5"/>
    <col width="18" customWidth="1" min="6" max="6"/>
    <col width="8" customWidth="1" min="7" max="7"/>
    <col width="7" customWidth="1" min="8" max="8"/>
    <col width="8" customWidth="1" min="9" max="9"/>
    <col width="7" customWidth="1" min="10" max="10"/>
    <col width="11" customWidth="1" min="11" max="11"/>
    <col width="10" customWidth="1" min="12" max="12"/>
    <col width="11" customWidth="1" min="13" max="13"/>
    <col width="15" customWidth="1" min="14" max="14"/>
    <col width="12" customWidth="1" min="15" max="15"/>
  </cols>
  <sheetData>
    <row r="1">
      <c r="A1" s="1" t="inlineStr">
        <is>
          <t>ABANDONED CARTS (30 Sep – 06 Oct 2026)</t>
        </is>
      </c>
    </row>
    <row r="2">
      <c r="G2" s="2" t="inlineStr">
        <is>
          <t>Customers converted</t>
        </is>
      </c>
      <c r="K2" s="2" t="inlineStr">
        <is>
          <t>Converted value (₹)</t>
        </is>
      </c>
    </row>
    <row r="3">
      <c r="A3" s="3" t="inlineStr"/>
      <c r="B3" s="3" t="inlineStr">
        <is>
          <t>total</t>
        </is>
      </c>
      <c r="C3" s="3" t="inlineStr">
        <is>
          <t>Abandoned value</t>
        </is>
      </c>
      <c r="D3" s="3" t="inlineStr">
        <is>
          <t>Fake/ no number</t>
        </is>
      </c>
      <c r="E3" s="3" t="inlineStr">
        <is>
          <t>fake %</t>
        </is>
      </c>
      <c r="F3" s="3" t="inlineStr">
        <is>
          <t>actual abandonment</t>
        </is>
      </c>
      <c r="G3" s="3" t="inlineStr">
        <is>
          <t>Online</t>
        </is>
      </c>
      <c r="H3" s="3" t="inlineStr">
        <is>
          <t>App</t>
        </is>
      </c>
      <c r="I3" s="3" t="inlineStr">
        <is>
          <t>Stylist</t>
        </is>
      </c>
      <c r="J3" s="3" t="inlineStr">
        <is>
          <t>Total</t>
        </is>
      </c>
      <c r="K3" s="3" t="inlineStr">
        <is>
          <t>Online</t>
        </is>
      </c>
      <c r="L3" s="3" t="inlineStr">
        <is>
          <t>App</t>
        </is>
      </c>
      <c r="M3" s="3" t="inlineStr">
        <is>
          <t>Stylist</t>
        </is>
      </c>
      <c r="N3" s="3" t="inlineStr">
        <is>
          <t>total converted</t>
        </is>
      </c>
      <c r="O3" s="3" t="inlineStr">
        <is>
          <t>conversion %</t>
        </is>
      </c>
    </row>
    <row r="4">
      <c r="A4" s="4" t="inlineStr">
        <is>
          <t>30th</t>
        </is>
      </c>
      <c r="B4" s="5" t="n">
        <v>47</v>
      </c>
      <c r="C4" s="6" t="n">
        <v>1770972</v>
      </c>
      <c r="D4" s="6" t="n">
        <v>167335</v>
      </c>
      <c r="E4" s="7">
        <f>IFERROR(D4/C4,0)</f>
        <v/>
      </c>
      <c r="F4" s="8">
        <f>C4-D4</f>
        <v/>
      </c>
      <c r="G4" s="5" t="n">
        <v>1</v>
      </c>
      <c r="H4" s="5" t="n">
        <v>0</v>
      </c>
      <c r="I4" s="5" t="n">
        <v>6</v>
      </c>
      <c r="J4" s="9">
        <f>G4+H4+I4</f>
        <v/>
      </c>
      <c r="K4" s="6" t="n">
        <v>17900</v>
      </c>
      <c r="L4" s="6" t="n">
        <v>0</v>
      </c>
      <c r="M4" s="6" t="n">
        <v>154523</v>
      </c>
      <c r="N4" s="8">
        <f>K4+L4+M4</f>
        <v/>
      </c>
      <c r="O4" s="7">
        <f>IFERROR(N4/F4,0)</f>
        <v/>
      </c>
    </row>
    <row r="5">
      <c r="A5" s="4" t="inlineStr">
        <is>
          <t>1st</t>
        </is>
      </c>
      <c r="B5" s="5" t="n">
        <v>46</v>
      </c>
      <c r="C5" s="6" t="n">
        <v>1006304</v>
      </c>
      <c r="D5" s="6" t="n">
        <v>194665</v>
      </c>
      <c r="E5" s="7">
        <f>IFERROR(D5/C5,0)</f>
        <v/>
      </c>
      <c r="F5" s="8">
        <f>C5-D5</f>
        <v/>
      </c>
      <c r="G5" s="5" t="n">
        <v>2</v>
      </c>
      <c r="H5" s="5" t="n">
        <v>2</v>
      </c>
      <c r="I5" s="5" t="n">
        <v>7</v>
      </c>
      <c r="J5" s="9">
        <f>G5+H5+I5</f>
        <v/>
      </c>
      <c r="K5" s="6" t="n">
        <v>32715</v>
      </c>
      <c r="L5" s="6" t="n">
        <v>27225</v>
      </c>
      <c r="M5" s="6" t="n">
        <v>113929</v>
      </c>
      <c r="N5" s="8">
        <f>K5+L5+M5</f>
        <v/>
      </c>
      <c r="O5" s="7">
        <f>IFERROR(N5/F5,0)</f>
        <v/>
      </c>
    </row>
    <row r="6">
      <c r="A6" s="4" t="inlineStr">
        <is>
          <t>2nd</t>
        </is>
      </c>
      <c r="B6" s="5" t="n">
        <v>40</v>
      </c>
      <c r="C6" s="6" t="n">
        <v>830360</v>
      </c>
      <c r="D6" s="6" t="n">
        <v>266620</v>
      </c>
      <c r="E6" s="7">
        <f>IFERROR(D6/C6,0)</f>
        <v/>
      </c>
      <c r="F6" s="8">
        <f>C6-D6</f>
        <v/>
      </c>
      <c r="G6" s="5" t="n">
        <v>0</v>
      </c>
      <c r="H6" s="5" t="n">
        <v>1</v>
      </c>
      <c r="I6" s="5" t="n">
        <v>3</v>
      </c>
      <c r="J6" s="9">
        <f>G6+H6+I6</f>
        <v/>
      </c>
      <c r="K6" s="6" t="n">
        <v>0</v>
      </c>
      <c r="L6" s="6" t="n">
        <v>24950</v>
      </c>
      <c r="M6" s="6" t="n">
        <v>74430</v>
      </c>
      <c r="N6" s="8">
        <f>K6+L6+M6</f>
        <v/>
      </c>
      <c r="O6" s="7">
        <f>IFERROR(N6/F6,0)</f>
        <v/>
      </c>
    </row>
    <row r="7">
      <c r="A7" s="4" t="inlineStr">
        <is>
          <t>3rd</t>
        </is>
      </c>
      <c r="B7" s="5" t="n">
        <v>41</v>
      </c>
      <c r="C7" s="6" t="n">
        <v>676895</v>
      </c>
      <c r="D7" s="6" t="n">
        <v>15755</v>
      </c>
      <c r="E7" s="7">
        <f>IFERROR(D7/C7,0)</f>
        <v/>
      </c>
      <c r="F7" s="8">
        <f>C7-D7</f>
        <v/>
      </c>
      <c r="G7" s="5" t="n">
        <v>1</v>
      </c>
      <c r="H7" s="5" t="n">
        <v>0</v>
      </c>
      <c r="I7" s="5" t="n">
        <v>1</v>
      </c>
      <c r="J7" s="9">
        <f>G7+H7+I7</f>
        <v/>
      </c>
      <c r="K7" s="6" t="n">
        <v>11960</v>
      </c>
      <c r="L7" s="6" t="n">
        <v>0</v>
      </c>
      <c r="M7" s="6" t="n">
        <v>1350</v>
      </c>
      <c r="N7" s="8">
        <f>K7+L7+M7</f>
        <v/>
      </c>
      <c r="O7" s="7">
        <f>IFERROR(N7/F7,0)</f>
        <v/>
      </c>
    </row>
    <row r="8">
      <c r="A8" s="4" t="inlineStr">
        <is>
          <t>4th</t>
        </is>
      </c>
      <c r="B8" s="5" t="n">
        <v>46</v>
      </c>
      <c r="C8" s="6" t="n">
        <v>1199933</v>
      </c>
      <c r="D8" s="6" t="n">
        <v>228953</v>
      </c>
      <c r="E8" s="7">
        <f>IFERROR(D8/C8,0)</f>
        <v/>
      </c>
      <c r="F8" s="8">
        <f>C8-D8</f>
        <v/>
      </c>
      <c r="G8" s="5" t="n">
        <v>1</v>
      </c>
      <c r="H8" s="5" t="n">
        <v>0</v>
      </c>
      <c r="I8" s="5" t="n">
        <v>7</v>
      </c>
      <c r="J8" s="9">
        <f>G8+H8+I8</f>
        <v/>
      </c>
      <c r="K8" s="6" t="n">
        <v>13950</v>
      </c>
      <c r="L8" s="6" t="n">
        <v>0</v>
      </c>
      <c r="M8" s="6" t="n">
        <v>147253</v>
      </c>
      <c r="N8" s="8">
        <f>K8+L8+M8</f>
        <v/>
      </c>
      <c r="O8" s="7">
        <f>IFERROR(N8/F8,0)</f>
        <v/>
      </c>
    </row>
    <row r="9">
      <c r="A9" s="4" t="inlineStr">
        <is>
          <t>5th</t>
        </is>
      </c>
      <c r="B9" s="5" t="n">
        <v>45</v>
      </c>
      <c r="C9" s="6" t="n">
        <v>900386</v>
      </c>
      <c r="D9" s="6" t="n">
        <v>348660</v>
      </c>
      <c r="E9" s="7">
        <f>IFERROR(D9/C9,0)</f>
        <v/>
      </c>
      <c r="F9" s="8">
        <f>C9-D9</f>
        <v/>
      </c>
      <c r="G9" s="5" t="n">
        <v>1</v>
      </c>
      <c r="H9" s="5" t="n">
        <v>2</v>
      </c>
      <c r="I9" s="5" t="n">
        <v>9</v>
      </c>
      <c r="J9" s="9">
        <f>G9+H9+I9</f>
        <v/>
      </c>
      <c r="K9" s="6" t="n">
        <v>23170</v>
      </c>
      <c r="L9" s="6" t="n">
        <v>22175</v>
      </c>
      <c r="M9" s="6" t="n">
        <v>168928</v>
      </c>
      <c r="N9" s="8">
        <f>K9+L9+M9</f>
        <v/>
      </c>
      <c r="O9" s="7">
        <f>IFERROR(N9/F9,0)</f>
        <v/>
      </c>
    </row>
    <row r="10">
      <c r="A10" s="4" t="inlineStr">
        <is>
          <t>6th</t>
        </is>
      </c>
      <c r="B10" s="5" t="n">
        <v>50</v>
      </c>
      <c r="C10" s="6" t="n">
        <v>958750</v>
      </c>
      <c r="D10" s="6" t="n">
        <v>120630</v>
      </c>
      <c r="E10" s="7">
        <f>IFERROR(D10/C10,0)</f>
        <v/>
      </c>
      <c r="F10" s="8">
        <f>C10-D10</f>
        <v/>
      </c>
      <c r="G10" s="5" t="n">
        <v>1</v>
      </c>
      <c r="H10" s="5" t="n">
        <v>1</v>
      </c>
      <c r="I10" s="5" t="n">
        <v>3</v>
      </c>
      <c r="J10" s="9">
        <f>G10+H10+I10</f>
        <v/>
      </c>
      <c r="K10" s="6" t="n">
        <v>10755</v>
      </c>
      <c r="L10" s="6" t="n">
        <v>16000</v>
      </c>
      <c r="M10" s="6" t="n">
        <v>43580</v>
      </c>
      <c r="N10" s="8">
        <f>K10+L10+M10</f>
        <v/>
      </c>
      <c r="O10" s="7">
        <f>IFERROR(N10/F10,0)</f>
        <v/>
      </c>
    </row>
    <row r="11">
      <c r="A11" s="4" t="inlineStr">
        <is>
          <t>Period</t>
        </is>
      </c>
      <c r="B11" s="4">
        <f>SUM(B4:B10)</f>
        <v/>
      </c>
      <c r="C11" s="10">
        <f>SUM(C4:C10)</f>
        <v/>
      </c>
      <c r="D11" s="10">
        <f>SUM(D4:D10)</f>
        <v/>
      </c>
      <c r="E11" s="11">
        <f>IFERROR(D11/C11,0)</f>
        <v/>
      </c>
      <c r="F11" s="10">
        <f>SUM(F4:F10)</f>
        <v/>
      </c>
      <c r="G11" s="10">
        <f>SUM(G4:G10)</f>
        <v/>
      </c>
      <c r="H11" s="10">
        <f>SUM(H4:H10)</f>
        <v/>
      </c>
      <c r="I11" s="10">
        <f>SUM(I4:I10)</f>
        <v/>
      </c>
      <c r="J11" s="10">
        <f>SUM(J4:J10)</f>
        <v/>
      </c>
      <c r="K11" s="10">
        <f>SUM(K4:K10)</f>
        <v/>
      </c>
      <c r="L11" s="10">
        <f>SUM(L4:L10)</f>
        <v/>
      </c>
      <c r="M11" s="10">
        <f>SUM(M4:M10)</f>
        <v/>
      </c>
      <c r="N11" s="10">
        <f>SUM(N4:N10)</f>
        <v/>
      </c>
      <c r="O11" s="11">
        <f>IFERROR(N11/F11,0)</f>
        <v/>
      </c>
    </row>
    <row r="13">
      <c r="A13" s="12" t="inlineStr">
        <is>
          <t>How this was built (Shopify Admin API, pulled 07 Oct 2026 14:29 IST; blue = pulled values, black = formulas):</t>
        </is>
      </c>
    </row>
    <row r="14">
      <c r="A14" s="13" t="inlineStr">
        <is>
          <t>• Day = abandoned-checkout date in IST; one row per customer per day (highest-value cart kept). Fake/ no number = no phone anywhere, or a dummy number.</t>
        </is>
      </c>
    </row>
    <row r="15">
      <c r="A15" s="13" t="inlineStr">
        <is>
          <t>• Converted = the customer's first order after abandoning, up to 06 Oct 11:59 PM IST, at current order value. Cancelled orders excluded. Later conversions are on 'By channel' as to-date addendum columns.</t>
        </is>
      </c>
    </row>
    <row r="16">
      <c r="A16" s="13" t="inlineStr">
        <is>
          <t>• Channel: Online = Online Store, App = Appbrew, Stylist = draft orders (REC AT drafts excluded, re-books split out on 'By channel').</t>
        </is>
      </c>
    </row>
    <row r="17">
      <c r="A17" s="13" t="inlineStr">
        <is>
          <t>• Only the first 5 orders per customer since period start were read.</t>
        </is>
      </c>
    </row>
  </sheetData>
  <mergeCells count="2">
    <mergeCell ref="G2:J2"/>
    <mergeCell ref="K2:N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7" customWidth="1" min="2" max="2"/>
    <col width="8" customWidth="1" min="3" max="3"/>
    <col width="7" customWidth="1" min="4" max="4"/>
    <col width="8" customWidth="1" min="5" max="5"/>
    <col width="14" customWidth="1" min="6" max="6"/>
    <col width="12" customWidth="1" min="7" max="7"/>
    <col width="13" customWidth="1" min="8" max="8"/>
    <col width="7" customWidth="1" min="9" max="9"/>
    <col width="11" customWidth="1" min="10" max="10"/>
    <col width="10" customWidth="1" min="11" max="11"/>
    <col width="11" customWidth="1" min="12" max="12"/>
    <col width="14" customWidth="1" min="13" max="13"/>
    <col width="12" customWidth="1" min="14" max="14"/>
    <col width="13" customWidth="1" min="15" max="15"/>
    <col width="11" customWidth="1" min="16" max="16"/>
    <col width="12" customWidth="1" min="17" max="17"/>
    <col width="14" customWidth="1" min="18" max="18"/>
    <col width="14" customWidth="1" min="19" max="19"/>
    <col width="16" customWidth="1" min="20" max="20"/>
    <col width="14" customWidth="1" min="21" max="21"/>
  </cols>
  <sheetData>
    <row r="1">
      <c r="A1" s="1" t="inlineStr">
        <is>
          <t>CONVERTED ABANDONERS BY CHANNEL BUCKET (30 Sep – 06 Oct 2026)</t>
        </is>
      </c>
    </row>
    <row r="2">
      <c r="C2" s="2" t="inlineStr">
        <is>
          <t>Customers converted</t>
        </is>
      </c>
      <c r="J2" s="2" t="inlineStr">
        <is>
          <t>Converted value (₹)</t>
        </is>
      </c>
    </row>
    <row r="3">
      <c r="A3" s="3" t="inlineStr"/>
      <c r="B3" s="3" t="inlineStr">
        <is>
          <t>actual abandonment</t>
        </is>
      </c>
      <c r="C3" s="3" t="inlineStr">
        <is>
          <t>online</t>
        </is>
      </c>
      <c r="D3" s="3" t="inlineStr">
        <is>
          <t>app</t>
        </is>
      </c>
      <c r="E3" s="3" t="inlineStr">
        <is>
          <t>stylist</t>
        </is>
      </c>
      <c r="F3" s="3" t="inlineStr">
        <is>
          <t>online_to_draft</t>
        </is>
      </c>
      <c r="G3" s="3" t="inlineStr">
        <is>
          <t>app_to_draft</t>
        </is>
      </c>
      <c r="H3" s="3" t="inlineStr">
        <is>
          <t>other_to_draft</t>
        </is>
      </c>
      <c r="I3" s="3" t="inlineStr">
        <is>
          <t>Total</t>
        </is>
      </c>
      <c r="J3" s="3" t="inlineStr">
        <is>
          <t>online</t>
        </is>
      </c>
      <c r="K3" s="3" t="inlineStr">
        <is>
          <t>app</t>
        </is>
      </c>
      <c r="L3" s="3" t="inlineStr">
        <is>
          <t>stylist</t>
        </is>
      </c>
      <c r="M3" s="3" t="inlineStr">
        <is>
          <t>online_to_draft</t>
        </is>
      </c>
      <c r="N3" s="3" t="inlineStr">
        <is>
          <t>app_to_draft</t>
        </is>
      </c>
      <c r="O3" s="3" t="inlineStr">
        <is>
          <t>other_to_draft</t>
        </is>
      </c>
      <c r="P3" s="3" t="inlineStr">
        <is>
          <t>Total</t>
        </is>
      </c>
      <c r="Q3" s="3" t="inlineStr">
        <is>
          <t>conversion %</t>
        </is>
      </c>
      <c r="R3" s="3" t="inlineStr">
        <is>
          <t>cancelled after converting</t>
        </is>
      </c>
      <c r="S3" s="3" t="inlineStr">
        <is>
          <t>retail_assist (REC AT)</t>
        </is>
      </c>
      <c r="T3" s="3" t="inlineStr">
        <is>
          <t>to-date extra conversions</t>
        </is>
      </c>
      <c r="U3" s="3" t="inlineStr">
        <is>
          <t>to-date extra value (₹)</t>
        </is>
      </c>
    </row>
    <row r="4">
      <c r="A4" s="4" t="inlineStr">
        <is>
          <t>30th</t>
        </is>
      </c>
      <c r="B4" s="6" t="n">
        <v>1603636</v>
      </c>
      <c r="C4" s="5" t="n">
        <v>1</v>
      </c>
      <c r="D4" s="5" t="n">
        <v>0</v>
      </c>
      <c r="E4" s="5" t="n">
        <v>6</v>
      </c>
      <c r="F4" s="5" t="n">
        <v>0</v>
      </c>
      <c r="G4" s="5" t="n">
        <v>0</v>
      </c>
      <c r="H4" s="5" t="n">
        <v>0</v>
      </c>
      <c r="I4" s="9">
        <f>SUM(C4:H4)</f>
        <v/>
      </c>
      <c r="J4" s="6" t="n">
        <v>17900</v>
      </c>
      <c r="K4" s="6" t="n">
        <v>0</v>
      </c>
      <c r="L4" s="6" t="n">
        <v>154523</v>
      </c>
      <c r="M4" s="6" t="n">
        <v>0</v>
      </c>
      <c r="N4" s="6" t="n">
        <v>0</v>
      </c>
      <c r="O4" s="6" t="n">
        <v>0</v>
      </c>
      <c r="P4" s="8">
        <f>SUM(J4:O4)</f>
        <v/>
      </c>
      <c r="Q4" s="7">
        <f>IFERROR(P4/B4,0)</f>
        <v/>
      </c>
      <c r="R4" s="5" t="n">
        <v>0</v>
      </c>
      <c r="S4" s="5" t="n">
        <v>0</v>
      </c>
      <c r="T4" s="5" t="n">
        <v>0</v>
      </c>
      <c r="U4" s="6" t="n">
        <v>0</v>
      </c>
    </row>
    <row r="5">
      <c r="A5" s="4" t="inlineStr">
        <is>
          <t>1st</t>
        </is>
      </c>
      <c r="B5" s="6" t="n">
        <v>811639</v>
      </c>
      <c r="C5" s="5" t="n">
        <v>2</v>
      </c>
      <c r="D5" s="5" t="n">
        <v>2</v>
      </c>
      <c r="E5" s="5" t="n">
        <v>7</v>
      </c>
      <c r="F5" s="5" t="n">
        <v>0</v>
      </c>
      <c r="G5" s="5" t="n">
        <v>0</v>
      </c>
      <c r="H5" s="5" t="n">
        <v>0</v>
      </c>
      <c r="I5" s="9">
        <f>SUM(C5:H5)</f>
        <v/>
      </c>
      <c r="J5" s="6" t="n">
        <v>32715</v>
      </c>
      <c r="K5" s="6" t="n">
        <v>27225</v>
      </c>
      <c r="L5" s="6" t="n">
        <v>113929</v>
      </c>
      <c r="M5" s="6" t="n">
        <v>0</v>
      </c>
      <c r="N5" s="6" t="n">
        <v>0</v>
      </c>
      <c r="O5" s="6" t="n">
        <v>0</v>
      </c>
      <c r="P5" s="8">
        <f>SUM(J5:O5)</f>
        <v/>
      </c>
      <c r="Q5" s="7">
        <f>IFERROR(P5/B5,0)</f>
        <v/>
      </c>
      <c r="R5" s="5" t="n">
        <v>0</v>
      </c>
      <c r="S5" s="5" t="n">
        <v>0</v>
      </c>
      <c r="T5" s="5" t="n">
        <v>0</v>
      </c>
      <c r="U5" s="6" t="n">
        <v>0</v>
      </c>
    </row>
    <row r="6">
      <c r="A6" s="4" t="inlineStr">
        <is>
          <t>2nd</t>
        </is>
      </c>
      <c r="B6" s="6" t="n">
        <v>563740</v>
      </c>
      <c r="C6" s="5" t="n">
        <v>0</v>
      </c>
      <c r="D6" s="5" t="n">
        <v>1</v>
      </c>
      <c r="E6" s="5" t="n">
        <v>3</v>
      </c>
      <c r="F6" s="5" t="n">
        <v>0</v>
      </c>
      <c r="G6" s="5" t="n">
        <v>0</v>
      </c>
      <c r="H6" s="5" t="n">
        <v>0</v>
      </c>
      <c r="I6" s="9">
        <f>SUM(C6:H6)</f>
        <v/>
      </c>
      <c r="J6" s="6" t="n">
        <v>0</v>
      </c>
      <c r="K6" s="6" t="n">
        <v>24950</v>
      </c>
      <c r="L6" s="6" t="n">
        <v>74430</v>
      </c>
      <c r="M6" s="6" t="n">
        <v>0</v>
      </c>
      <c r="N6" s="6" t="n">
        <v>0</v>
      </c>
      <c r="O6" s="6" t="n">
        <v>0</v>
      </c>
      <c r="P6" s="8">
        <f>SUM(J6:O6)</f>
        <v/>
      </c>
      <c r="Q6" s="7">
        <f>IFERROR(P6/B6,0)</f>
        <v/>
      </c>
      <c r="R6" s="5" t="n">
        <v>0</v>
      </c>
      <c r="S6" s="5" t="n">
        <v>0</v>
      </c>
      <c r="T6" s="5" t="n">
        <v>0</v>
      </c>
      <c r="U6" s="6" t="n">
        <v>0</v>
      </c>
    </row>
    <row r="7">
      <c r="A7" s="4" t="inlineStr">
        <is>
          <t>3rd</t>
        </is>
      </c>
      <c r="B7" s="6" t="n">
        <v>661140</v>
      </c>
      <c r="C7" s="5" t="n">
        <v>1</v>
      </c>
      <c r="D7" s="5" t="n">
        <v>0</v>
      </c>
      <c r="E7" s="5" t="n">
        <v>1</v>
      </c>
      <c r="F7" s="5" t="n">
        <v>0</v>
      </c>
      <c r="G7" s="5" t="n">
        <v>0</v>
      </c>
      <c r="H7" s="5" t="n">
        <v>0</v>
      </c>
      <c r="I7" s="9">
        <f>SUM(C7:H7)</f>
        <v/>
      </c>
      <c r="J7" s="6" t="n">
        <v>11960</v>
      </c>
      <c r="K7" s="6" t="n">
        <v>0</v>
      </c>
      <c r="L7" s="6" t="n">
        <v>1350</v>
      </c>
      <c r="M7" s="6" t="n">
        <v>0</v>
      </c>
      <c r="N7" s="6" t="n">
        <v>0</v>
      </c>
      <c r="O7" s="6" t="n">
        <v>0</v>
      </c>
      <c r="P7" s="8">
        <f>SUM(J7:O7)</f>
        <v/>
      </c>
      <c r="Q7" s="7">
        <f>IFERROR(P7/B7,0)</f>
        <v/>
      </c>
      <c r="R7" s="5" t="n">
        <v>0</v>
      </c>
      <c r="S7" s="5" t="n">
        <v>0</v>
      </c>
      <c r="T7" s="5" t="n">
        <v>1</v>
      </c>
      <c r="U7" s="6" t="n">
        <v>13560</v>
      </c>
    </row>
    <row r="8">
      <c r="A8" s="4" t="inlineStr">
        <is>
          <t>4th</t>
        </is>
      </c>
      <c r="B8" s="6" t="n">
        <v>970980</v>
      </c>
      <c r="C8" s="5" t="n">
        <v>1</v>
      </c>
      <c r="D8" s="5" t="n">
        <v>0</v>
      </c>
      <c r="E8" s="5" t="n">
        <v>6</v>
      </c>
      <c r="F8" s="5" t="n">
        <v>0</v>
      </c>
      <c r="G8" s="5" t="n">
        <v>0</v>
      </c>
      <c r="H8" s="5" t="n">
        <v>1</v>
      </c>
      <c r="I8" s="9">
        <f>SUM(C8:H8)</f>
        <v/>
      </c>
      <c r="J8" s="6" t="n">
        <v>13950</v>
      </c>
      <c r="K8" s="6" t="n">
        <v>0</v>
      </c>
      <c r="L8" s="6" t="n">
        <v>129793</v>
      </c>
      <c r="M8" s="6" t="n">
        <v>0</v>
      </c>
      <c r="N8" s="6" t="n">
        <v>0</v>
      </c>
      <c r="O8" s="6" t="n">
        <v>17460</v>
      </c>
      <c r="P8" s="8">
        <f>SUM(J8:O8)</f>
        <v/>
      </c>
      <c r="Q8" s="7">
        <f>IFERROR(P8/B8,0)</f>
        <v/>
      </c>
      <c r="R8" s="5" t="n">
        <v>0</v>
      </c>
      <c r="S8" s="5" t="n">
        <v>0</v>
      </c>
      <c r="T8" s="5" t="n">
        <v>1</v>
      </c>
      <c r="U8" s="6" t="n">
        <v>18180</v>
      </c>
    </row>
    <row r="9">
      <c r="A9" s="4" t="inlineStr">
        <is>
          <t>5th</t>
        </is>
      </c>
      <c r="B9" s="6" t="n">
        <v>551726</v>
      </c>
      <c r="C9" s="5" t="n">
        <v>1</v>
      </c>
      <c r="D9" s="5" t="n">
        <v>2</v>
      </c>
      <c r="E9" s="5" t="n">
        <v>9</v>
      </c>
      <c r="F9" s="5" t="n">
        <v>0</v>
      </c>
      <c r="G9" s="5" t="n">
        <v>0</v>
      </c>
      <c r="H9" s="5" t="n">
        <v>0</v>
      </c>
      <c r="I9" s="9">
        <f>SUM(C9:H9)</f>
        <v/>
      </c>
      <c r="J9" s="6" t="n">
        <v>23170</v>
      </c>
      <c r="K9" s="6" t="n">
        <v>22175</v>
      </c>
      <c r="L9" s="6" t="n">
        <v>168928</v>
      </c>
      <c r="M9" s="6" t="n">
        <v>0</v>
      </c>
      <c r="N9" s="6" t="n">
        <v>0</v>
      </c>
      <c r="O9" s="6" t="n">
        <v>0</v>
      </c>
      <c r="P9" s="8">
        <f>SUM(J9:O9)</f>
        <v/>
      </c>
      <c r="Q9" s="7">
        <f>IFERROR(P9/B9,0)</f>
        <v/>
      </c>
      <c r="R9" s="5" t="n">
        <v>0</v>
      </c>
      <c r="S9" s="5" t="n">
        <v>0</v>
      </c>
      <c r="T9" s="5" t="n">
        <v>0</v>
      </c>
      <c r="U9" s="6" t="n">
        <v>0</v>
      </c>
    </row>
    <row r="10">
      <c r="A10" s="4" t="inlineStr">
        <is>
          <t>6th</t>
        </is>
      </c>
      <c r="B10" s="6" t="n">
        <v>838120</v>
      </c>
      <c r="C10" s="5" t="n">
        <v>1</v>
      </c>
      <c r="D10" s="5" t="n">
        <v>1</v>
      </c>
      <c r="E10" s="5" t="n">
        <v>3</v>
      </c>
      <c r="F10" s="5" t="n">
        <v>0</v>
      </c>
      <c r="G10" s="5" t="n">
        <v>0</v>
      </c>
      <c r="H10" s="5" t="n">
        <v>0</v>
      </c>
      <c r="I10" s="9">
        <f>SUM(C10:H10)</f>
        <v/>
      </c>
      <c r="J10" s="6" t="n">
        <v>10755</v>
      </c>
      <c r="K10" s="6" t="n">
        <v>16000</v>
      </c>
      <c r="L10" s="6" t="n">
        <v>43580</v>
      </c>
      <c r="M10" s="6" t="n">
        <v>0</v>
      </c>
      <c r="N10" s="6" t="n">
        <v>0</v>
      </c>
      <c r="O10" s="6" t="n">
        <v>0</v>
      </c>
      <c r="P10" s="8">
        <f>SUM(J10:O10)</f>
        <v/>
      </c>
      <c r="Q10" s="7">
        <f>IFERROR(P10/B10,0)</f>
        <v/>
      </c>
      <c r="R10" s="5" t="n">
        <v>0</v>
      </c>
      <c r="S10" s="5" t="n">
        <v>0</v>
      </c>
      <c r="T10" s="5" t="n">
        <v>1</v>
      </c>
      <c r="U10" s="6" t="n">
        <v>19710</v>
      </c>
    </row>
    <row r="11">
      <c r="A11" s="4" t="inlineStr">
        <is>
          <t>Period</t>
        </is>
      </c>
      <c r="B11" s="10">
        <f>SUM(B4:B10)</f>
        <v/>
      </c>
      <c r="C11" s="4">
        <f>SUM(C4:C10)</f>
        <v/>
      </c>
      <c r="D11" s="4">
        <f>SUM(D4:D10)</f>
        <v/>
      </c>
      <c r="E11" s="4">
        <f>SUM(E4:E10)</f>
        <v/>
      </c>
      <c r="F11" s="4">
        <f>SUM(F4:F10)</f>
        <v/>
      </c>
      <c r="G11" s="4">
        <f>SUM(G4:G10)</f>
        <v/>
      </c>
      <c r="H11" s="4">
        <f>SUM(H4:H10)</f>
        <v/>
      </c>
      <c r="I11" s="4">
        <f>SUM(I4:I10)</f>
        <v/>
      </c>
      <c r="J11" s="10">
        <f>SUM(J4:J10)</f>
        <v/>
      </c>
      <c r="K11" s="10">
        <f>SUM(K4:K10)</f>
        <v/>
      </c>
      <c r="L11" s="10">
        <f>SUM(L4:L10)</f>
        <v/>
      </c>
      <c r="M11" s="10">
        <f>SUM(M4:M10)</f>
        <v/>
      </c>
      <c r="N11" s="10">
        <f>SUM(N4:N10)</f>
        <v/>
      </c>
      <c r="O11" s="10">
        <f>SUM(O4:O10)</f>
        <v/>
      </c>
      <c r="P11" s="10">
        <f>SUM(P4:P10)</f>
        <v/>
      </c>
      <c r="Q11" s="11">
        <f>IFERROR(P11/B11,0)</f>
        <v/>
      </c>
      <c r="R11" s="4">
        <f>SUM(R4:R10)</f>
        <v/>
      </c>
      <c r="S11" s="4">
        <f>SUM(S4:S10)</f>
        <v/>
      </c>
      <c r="T11" s="4">
        <f>SUM(T4:T10)</f>
        <v/>
      </c>
      <c r="U11" s="10">
        <f>SUM(U4:U10)</f>
        <v/>
      </c>
    </row>
  </sheetData>
  <mergeCells count="2">
    <mergeCell ref="J2:P2"/>
    <mergeCell ref="C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2026-10-07T08:59:45Z</dcterms:created>
  <dcterms:modified xsi:type="dcterms:W3CDTF">2026-10-07T08:59:45Z</dcterms:modified>
</cp:coreProperties>
</file>